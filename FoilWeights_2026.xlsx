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M:\Periphyton\Sampling_Year\Periphyton_Project_2026\"/>
    </mc:Choice>
  </mc:AlternateContent>
  <xr:revisionPtr revIDLastSave="0" documentId="13_ncr:1_{7A3F18F1-11B6-4568-BB19-7BABF0117B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ilWeigh" sheetId="2" r:id="rId1"/>
  </sheets>
  <definedNames>
    <definedName name="_xlnm.Print_Area" localSheetId="0">FoilWeigh!$A$1:$N$22</definedName>
    <definedName name="_xlnm.Print_Titles" localSheetId="0">FoilWeigh!$1:$1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J15" i="2" s="1"/>
  <c r="H16" i="2"/>
  <c r="H17" i="2"/>
  <c r="H18" i="2"/>
  <c r="H19" i="2"/>
  <c r="H20" i="2"/>
  <c r="H21" i="2"/>
  <c r="J21" i="2" s="1"/>
  <c r="H22" i="2"/>
  <c r="H23" i="2"/>
  <c r="H24" i="2"/>
  <c r="J24" i="2" s="1"/>
  <c r="H2" i="2"/>
  <c r="J2" i="2" s="1"/>
  <c r="G3" i="2"/>
  <c r="G4" i="2"/>
  <c r="G5" i="2"/>
  <c r="J5" i="2" s="1"/>
  <c r="G6" i="2"/>
  <c r="J6" i="2" s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J23" i="2" s="1"/>
  <c r="G24" i="2"/>
  <c r="G2" i="2"/>
  <c r="J18" i="2"/>
  <c r="J3" i="2"/>
  <c r="I23" i="2"/>
  <c r="I2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J16" i="2" s="1"/>
  <c r="I17" i="2"/>
  <c r="I18" i="2"/>
  <c r="I19" i="2"/>
  <c r="I20" i="2"/>
  <c r="J20" i="2" s="1"/>
  <c r="I21" i="2"/>
  <c r="I22" i="2"/>
  <c r="I2" i="2"/>
  <c r="J12" i="2"/>
  <c r="J22" i="2"/>
  <c r="J19" i="2" l="1"/>
  <c r="J17" i="2"/>
  <c r="J14" i="2"/>
  <c r="J10" i="2"/>
  <c r="J9" i="2"/>
  <c r="J11" i="2"/>
  <c r="J8" i="2"/>
  <c r="J13" i="2"/>
  <c r="J7" i="2"/>
  <c r="J4" i="2"/>
</calcChain>
</file>

<file path=xl/sharedStrings.xml><?xml version="1.0" encoding="utf-8"?>
<sst xmlns="http://schemas.openxmlformats.org/spreadsheetml/2006/main" count="43" uniqueCount="38">
  <si>
    <t>Naugatuck River</t>
  </si>
  <si>
    <t>Dup</t>
  </si>
  <si>
    <t>Weigh Date</t>
  </si>
  <si>
    <t>Standard Weight (g)</t>
  </si>
  <si>
    <t>Weight (g)</t>
  </si>
  <si>
    <t>1.00 g</t>
  </si>
  <si>
    <t>2.00 g</t>
  </si>
  <si>
    <t>5.00 g</t>
  </si>
  <si>
    <t>0.100 g</t>
  </si>
  <si>
    <t>SID</t>
  </si>
  <si>
    <t>Standardize Foil 1 (100 cm2)</t>
  </si>
  <si>
    <t>Standardize Foil 2 (25 cm2)</t>
  </si>
  <si>
    <t>Standardize Foil 3 (9cm2)</t>
  </si>
  <si>
    <t>Waterbody</t>
  </si>
  <si>
    <t>Date Sampled</t>
  </si>
  <si>
    <t>Training Day Foils</t>
  </si>
  <si>
    <t>Foil Weight (g)</t>
  </si>
  <si>
    <t>Foil Size (cm2) (Foil 1)</t>
  </si>
  <si>
    <t>Foil Size (cm2) (Foil 2)</t>
  </si>
  <si>
    <t>Foil Size (cm2) (Foil 3)</t>
  </si>
  <si>
    <t>Average Foil Size (cm2)</t>
  </si>
  <si>
    <t>Lyman Brook</t>
  </si>
  <si>
    <t>Salmon River</t>
  </si>
  <si>
    <t>Durkee Brook</t>
  </si>
  <si>
    <t>NNT to Rockadundee Brook</t>
  </si>
  <si>
    <t>Natchaug River</t>
  </si>
  <si>
    <t>Fry Brook</t>
  </si>
  <si>
    <t>Seth Williams Brook</t>
  </si>
  <si>
    <t>East Mountain Brook</t>
  </si>
  <si>
    <t>Sandy Brook</t>
  </si>
  <si>
    <t>Nonnewaug River</t>
  </si>
  <si>
    <t>NNT Nonnewaug River</t>
  </si>
  <si>
    <t>Chase Brook</t>
  </si>
  <si>
    <t>Tankerhoosen River</t>
  </si>
  <si>
    <t>Mill River</t>
  </si>
  <si>
    <t>Noroton River</t>
  </si>
  <si>
    <t>Pequonnock River</t>
  </si>
  <si>
    <t>Stafford Brook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</si>
</sst>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23">
    <xf numFmtId="0" fontId="0" fillId="0" borderId="0" xfId="0"/>
    <xf numFmtId="0" fontId="5" fillId="2" borderId="1" xfId="1" applyFont="1" applyFill="1" applyBorder="1" applyAlignment="1">
      <alignment horizontal="center"/>
    </xf>
    <xf numFmtId="0" fontId="4" fillId="0" borderId="0" xfId="0" applyFont="1"/>
    <xf numFmtId="14" fontId="3" fillId="0" borderId="1" xfId="0" applyNumberFormat="1" applyFont="1" applyBorder="1"/>
    <xf numFmtId="0" fontId="3" fillId="0" borderId="1" xfId="0" applyFont="1" applyBorder="1"/>
    <xf numFmtId="0" fontId="3" fillId="0" borderId="0" xfId="0" applyFont="1"/>
    <xf numFmtId="0" fontId="6" fillId="0" borderId="1" xfId="3" applyFont="1" applyBorder="1" applyAlignment="1">
      <alignment horizontal="right" wrapText="1"/>
    </xf>
    <xf numFmtId="0" fontId="6" fillId="0" borderId="1" xfId="0" applyFont="1" applyBorder="1"/>
    <xf numFmtId="0" fontId="6" fillId="0" borderId="0" xfId="0" applyFont="1"/>
    <xf numFmtId="0" fontId="5" fillId="2" borderId="1" xfId="2" applyFont="1" applyFill="1" applyBorder="1" applyAlignment="1">
      <alignment horizontal="center"/>
    </xf>
    <xf numFmtId="164" fontId="5" fillId="2" borderId="1" xfId="2" applyNumberFormat="1" applyFont="1" applyFill="1" applyBorder="1" applyAlignment="1">
      <alignment horizontal="center"/>
    </xf>
    <xf numFmtId="0" fontId="6" fillId="0" borderId="1" xfId="3" applyFont="1" applyBorder="1" applyAlignment="1">
      <alignment horizontal="right"/>
    </xf>
    <xf numFmtId="164" fontId="3" fillId="0" borderId="1" xfId="0" applyNumberFormat="1" applyFont="1" applyBorder="1"/>
    <xf numFmtId="0" fontId="1" fillId="0" borderId="0" xfId="1"/>
    <xf numFmtId="0" fontId="6" fillId="0" borderId="1" xfId="1" applyFont="1" applyBorder="1"/>
    <xf numFmtId="0" fontId="6" fillId="0" borderId="1" xfId="1" applyFont="1" applyBorder="1" applyAlignment="1">
      <alignment horizontal="right"/>
    </xf>
    <xf numFmtId="164" fontId="6" fillId="0" borderId="1" xfId="1" applyNumberFormat="1" applyFont="1" applyBorder="1"/>
    <xf numFmtId="14" fontId="6" fillId="0" borderId="1" xfId="1" applyNumberFormat="1" applyFont="1" applyBorder="1"/>
    <xf numFmtId="0" fontId="5" fillId="3" borderId="1" xfId="2" applyFont="1" applyFill="1" applyBorder="1" applyAlignment="1">
      <alignment horizontal="center"/>
    </xf>
    <xf numFmtId="164" fontId="6" fillId="4" borderId="1" xfId="1" applyNumberFormat="1" applyFont="1" applyFill="1" applyBorder="1"/>
    <xf numFmtId="0" fontId="6" fillId="0" borderId="1" xfId="3" applyFont="1" applyFill="1" applyBorder="1" applyAlignment="1">
      <alignment horizontal="right" wrapText="1"/>
    </xf>
    <xf numFmtId="0" fontId="6" fillId="0" borderId="1" xfId="3" applyFont="1" applyFill="1" applyBorder="1" applyAlignment="1">
      <alignment horizontal="right"/>
    </xf>
    <xf numFmtId="0" fontId="0" fillId="0" borderId="1" xfId="0" applyBorder="1"/>
  </cellXfs>
  <cellStyles count="4">
    <cellStyle name="Normal" xfId="0" builtinId="0"/>
    <cellStyle name="Normal_Sheet1" xfId="1" xr:uid="{00000000-0005-0000-0000-000001000000}"/>
    <cellStyle name="Normal_Sheet1_1" xfId="3" xr:uid="{00000000-0005-0000-0000-000002000000}"/>
    <cellStyle name="Normal_Sheet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zoomScaleNormal="100" zoomScaleSheetLayoutView="100" workbookViewId="0">
      <selection activeCell="F25" sqref="F25"/>
    </sheetView>
  </sheetViews>
  <sheetFormatPr defaultColWidth="47.140625" defaultRowHeight="15" x14ac:dyDescent="0.25"/>
  <cols>
    <col min="1" max="1" width="6" bestFit="1" customWidth="1"/>
    <col min="2" max="2" width="25.140625" bestFit="1" customWidth="1"/>
    <col min="3" max="3" width="13.5703125" bestFit="1" customWidth="1"/>
    <col min="4" max="4" width="4.42578125" bestFit="1" customWidth="1"/>
    <col min="5" max="5" width="12.140625" bestFit="1" customWidth="1"/>
    <col min="6" max="6" width="15.42578125" bestFit="1" customWidth="1"/>
    <col min="7" max="9" width="20.5703125" bestFit="1" customWidth="1"/>
    <col min="10" max="10" width="21.85546875" bestFit="1" customWidth="1"/>
    <col min="11" max="11" width="7.28515625" customWidth="1"/>
    <col min="12" max="12" width="12.140625" bestFit="1" customWidth="1"/>
    <col min="13" max="13" width="25.28515625" bestFit="1" customWidth="1"/>
    <col min="14" max="14" width="11" bestFit="1" customWidth="1"/>
  </cols>
  <sheetData>
    <row r="1" spans="1:14" s="2" customFormat="1" x14ac:dyDescent="0.25">
      <c r="A1" s="1" t="s">
        <v>9</v>
      </c>
      <c r="B1" s="1" t="s">
        <v>13</v>
      </c>
      <c r="C1" s="1" t="s">
        <v>14</v>
      </c>
      <c r="D1" s="1" t="s">
        <v>1</v>
      </c>
      <c r="E1" s="9" t="s">
        <v>2</v>
      </c>
      <c r="F1" s="9" t="s">
        <v>16</v>
      </c>
      <c r="G1" s="9" t="s">
        <v>17</v>
      </c>
      <c r="H1" s="9" t="s">
        <v>18</v>
      </c>
      <c r="I1" s="9" t="s">
        <v>19</v>
      </c>
      <c r="J1" s="18" t="s">
        <v>20</v>
      </c>
      <c r="L1" s="9" t="s">
        <v>2</v>
      </c>
      <c r="M1" s="9" t="s">
        <v>3</v>
      </c>
      <c r="N1" s="10" t="s">
        <v>4</v>
      </c>
    </row>
    <row r="2" spans="1:14" s="2" customFormat="1" x14ac:dyDescent="0.25">
      <c r="A2" s="14"/>
      <c r="B2" s="15" t="s">
        <v>15</v>
      </c>
      <c r="C2" s="17">
        <v>46177</v>
      </c>
      <c r="D2" s="14"/>
      <c r="E2" s="3">
        <v>46231</v>
      </c>
      <c r="F2" s="16">
        <v>2.5983000000000001</v>
      </c>
      <c r="G2" s="16">
        <f>(100/0.4429)*F2</f>
        <v>586.65613005193052</v>
      </c>
      <c r="H2" s="16">
        <f>(25/0.1198)*F2</f>
        <v>542.21619365609342</v>
      </c>
      <c r="I2" s="16">
        <f>(9/0.0412)*F2</f>
        <v>567.58980582524271</v>
      </c>
      <c r="J2" s="19">
        <f>AVERAGE(G2:I2)</f>
        <v>565.48737651108888</v>
      </c>
      <c r="K2" s="13"/>
      <c r="L2" s="3">
        <v>46231</v>
      </c>
      <c r="M2" s="7" t="s">
        <v>10</v>
      </c>
      <c r="N2" s="4">
        <v>0.44290000000000002</v>
      </c>
    </row>
    <row r="3" spans="1:14" x14ac:dyDescent="0.25">
      <c r="A3" s="6">
        <v>18981</v>
      </c>
      <c r="B3" s="11" t="s">
        <v>21</v>
      </c>
      <c r="C3" s="3">
        <v>46181</v>
      </c>
      <c r="D3" s="4"/>
      <c r="E3" s="3">
        <v>46231</v>
      </c>
      <c r="F3" s="12">
        <v>1.3603000000000001</v>
      </c>
      <c r="G3" s="16">
        <f t="shared" ref="G3:G24" si="0">(100/0.4429)*F3</f>
        <v>307.13479340708966</v>
      </c>
      <c r="H3" s="16">
        <f t="shared" ref="H3:H24" si="1">(25/0.1198)*F3</f>
        <v>283.86894824707844</v>
      </c>
      <c r="I3" s="16">
        <f t="shared" ref="I3:I22" si="2">(9/0.0412)*F3</f>
        <v>297.15291262135923</v>
      </c>
      <c r="J3" s="19">
        <f t="shared" ref="J3:J22" si="3">AVERAGE(G3:I3)</f>
        <v>296.05221809184246</v>
      </c>
      <c r="K3" s="5"/>
      <c r="L3" s="3">
        <v>46231</v>
      </c>
      <c r="M3" s="7" t="s">
        <v>11</v>
      </c>
      <c r="N3" s="4">
        <v>0.1198</v>
      </c>
    </row>
    <row r="4" spans="1:14" x14ac:dyDescent="0.25">
      <c r="A4" s="6">
        <v>14441</v>
      </c>
      <c r="B4" s="11" t="s">
        <v>22</v>
      </c>
      <c r="C4" s="3">
        <v>46181</v>
      </c>
      <c r="D4" s="4"/>
      <c r="E4" s="3">
        <v>46231</v>
      </c>
      <c r="F4" s="12">
        <v>1.6927000000000001</v>
      </c>
      <c r="G4" s="16">
        <f t="shared" si="0"/>
        <v>382.18559494242493</v>
      </c>
      <c r="H4" s="16">
        <f t="shared" si="1"/>
        <v>353.23455759599329</v>
      </c>
      <c r="I4" s="16">
        <f t="shared" si="2"/>
        <v>369.76456310679612</v>
      </c>
      <c r="J4" s="19">
        <f t="shared" si="3"/>
        <v>368.3949052150715</v>
      </c>
      <c r="K4" s="5"/>
      <c r="L4" s="3">
        <v>46231</v>
      </c>
      <c r="M4" s="7" t="s">
        <v>12</v>
      </c>
      <c r="N4" s="4">
        <v>4.1200000000000001E-2</v>
      </c>
    </row>
    <row r="5" spans="1:14" x14ac:dyDescent="0.25">
      <c r="A5" s="6">
        <v>21064</v>
      </c>
      <c r="B5" s="11" t="s">
        <v>22</v>
      </c>
      <c r="C5" s="3">
        <v>46181</v>
      </c>
      <c r="D5" s="4"/>
      <c r="E5" s="3">
        <v>46231</v>
      </c>
      <c r="F5" s="12">
        <v>1.4430000000000001</v>
      </c>
      <c r="G5" s="16">
        <f t="shared" si="0"/>
        <v>325.8071799503274</v>
      </c>
      <c r="H5" s="16">
        <f t="shared" si="1"/>
        <v>301.12687813021699</v>
      </c>
      <c r="I5" s="16">
        <f t="shared" si="2"/>
        <v>315.21844660194176</v>
      </c>
      <c r="J5" s="19">
        <f t="shared" si="3"/>
        <v>314.05083489416205</v>
      </c>
      <c r="K5" s="5"/>
      <c r="L5" s="3">
        <v>46231</v>
      </c>
      <c r="M5" s="7" t="s">
        <v>5</v>
      </c>
      <c r="N5" s="4">
        <v>1.0001</v>
      </c>
    </row>
    <row r="6" spans="1:14" x14ac:dyDescent="0.25">
      <c r="A6" s="6">
        <v>21064</v>
      </c>
      <c r="B6" s="11" t="s">
        <v>22</v>
      </c>
      <c r="C6" s="3">
        <v>46181</v>
      </c>
      <c r="D6" s="4">
        <v>1</v>
      </c>
      <c r="E6" s="3">
        <v>46231</v>
      </c>
      <c r="F6" s="12">
        <v>1.7787999999999999</v>
      </c>
      <c r="G6" s="16">
        <f t="shared" si="0"/>
        <v>401.6256491307293</v>
      </c>
      <c r="H6" s="16">
        <f t="shared" si="1"/>
        <v>371.20200333889812</v>
      </c>
      <c r="I6" s="16">
        <f t="shared" si="2"/>
        <v>388.57281553398053</v>
      </c>
      <c r="J6" s="19">
        <f t="shared" si="3"/>
        <v>387.13348933453602</v>
      </c>
      <c r="K6" s="5"/>
      <c r="L6" s="3">
        <v>46231</v>
      </c>
      <c r="M6" s="7" t="s">
        <v>6</v>
      </c>
      <c r="N6" s="4">
        <v>2.0002</v>
      </c>
    </row>
    <row r="7" spans="1:14" x14ac:dyDescent="0.25">
      <c r="A7" s="6">
        <v>21057</v>
      </c>
      <c r="B7" s="11" t="s">
        <v>23</v>
      </c>
      <c r="C7" s="3">
        <v>46182</v>
      </c>
      <c r="D7" s="4"/>
      <c r="E7" s="3">
        <v>46231</v>
      </c>
      <c r="F7" s="12">
        <v>2.1122999999999998</v>
      </c>
      <c r="G7" s="16">
        <f t="shared" si="0"/>
        <v>476.92481372770374</v>
      </c>
      <c r="H7" s="16">
        <f t="shared" si="1"/>
        <v>440.79716193656088</v>
      </c>
      <c r="I7" s="16">
        <f t="shared" si="2"/>
        <v>461.42475728155335</v>
      </c>
      <c r="J7" s="19">
        <f t="shared" si="3"/>
        <v>459.71557764860603</v>
      </c>
      <c r="K7" s="5"/>
      <c r="L7" s="3">
        <v>46231</v>
      </c>
      <c r="M7" s="7" t="s">
        <v>7</v>
      </c>
      <c r="N7" s="4">
        <v>5.0002000000000004</v>
      </c>
    </row>
    <row r="8" spans="1:14" x14ac:dyDescent="0.25">
      <c r="A8" s="6">
        <v>21057</v>
      </c>
      <c r="B8" s="11" t="s">
        <v>23</v>
      </c>
      <c r="C8" s="3">
        <v>46182</v>
      </c>
      <c r="D8" s="4">
        <v>1</v>
      </c>
      <c r="E8" s="3">
        <v>46231</v>
      </c>
      <c r="F8" s="12">
        <v>1.6124000000000001</v>
      </c>
      <c r="G8" s="16">
        <f t="shared" si="0"/>
        <v>364.05509144276363</v>
      </c>
      <c r="H8" s="16">
        <f t="shared" si="1"/>
        <v>336.47746243739567</v>
      </c>
      <c r="I8" s="16">
        <f t="shared" si="2"/>
        <v>352.22330097087377</v>
      </c>
      <c r="J8" s="19">
        <f t="shared" si="3"/>
        <v>350.91861828367769</v>
      </c>
      <c r="K8" s="5"/>
      <c r="L8" s="3">
        <v>46231</v>
      </c>
      <c r="M8" s="7" t="s">
        <v>8</v>
      </c>
      <c r="N8" s="12">
        <v>0.10009999999999999</v>
      </c>
    </row>
    <row r="9" spans="1:14" x14ac:dyDescent="0.25">
      <c r="A9" s="6">
        <v>20460</v>
      </c>
      <c r="B9" s="11" t="s">
        <v>37</v>
      </c>
      <c r="C9" s="3">
        <v>46182</v>
      </c>
      <c r="D9" s="4"/>
      <c r="E9" s="3">
        <v>46231</v>
      </c>
      <c r="F9" s="12">
        <v>1.5825</v>
      </c>
      <c r="G9" s="16">
        <f t="shared" si="0"/>
        <v>357.30413185820726</v>
      </c>
      <c r="H9" s="16">
        <f t="shared" si="1"/>
        <v>330.23789649415693</v>
      </c>
      <c r="I9" s="16">
        <f t="shared" si="2"/>
        <v>345.69174757281553</v>
      </c>
      <c r="J9" s="19">
        <f t="shared" si="3"/>
        <v>344.41125864172659</v>
      </c>
      <c r="K9" s="5"/>
    </row>
    <row r="10" spans="1:14" x14ac:dyDescent="0.25">
      <c r="A10" s="6">
        <v>21061</v>
      </c>
      <c r="B10" s="11" t="s">
        <v>24</v>
      </c>
      <c r="C10" s="3">
        <v>46182</v>
      </c>
      <c r="D10" s="4"/>
      <c r="E10" s="3">
        <v>46231</v>
      </c>
      <c r="F10" s="12">
        <v>1.546</v>
      </c>
      <c r="G10" s="16">
        <f t="shared" si="0"/>
        <v>349.06299390381577</v>
      </c>
      <c r="H10" s="16">
        <f t="shared" si="1"/>
        <v>322.62103505843072</v>
      </c>
      <c r="I10" s="16">
        <f t="shared" si="2"/>
        <v>337.71844660194171</v>
      </c>
      <c r="J10" s="19">
        <f t="shared" si="3"/>
        <v>336.46749185472936</v>
      </c>
      <c r="K10" s="5"/>
    </row>
    <row r="11" spans="1:14" x14ac:dyDescent="0.25">
      <c r="A11" s="6">
        <v>14314</v>
      </c>
      <c r="B11" s="11" t="s">
        <v>25</v>
      </c>
      <c r="C11" s="3">
        <v>46183</v>
      </c>
      <c r="D11" s="4"/>
      <c r="E11" s="3">
        <v>46231</v>
      </c>
      <c r="F11" s="12">
        <v>1.9191</v>
      </c>
      <c r="G11" s="16">
        <f t="shared" si="0"/>
        <v>433.30322871980133</v>
      </c>
      <c r="H11" s="16">
        <f t="shared" si="1"/>
        <v>400.47996661101837</v>
      </c>
      <c r="I11" s="16">
        <f t="shared" si="2"/>
        <v>419.22087378640776</v>
      </c>
      <c r="J11" s="19">
        <f t="shared" si="3"/>
        <v>417.66802303907588</v>
      </c>
      <c r="K11" s="5"/>
    </row>
    <row r="12" spans="1:14" x14ac:dyDescent="0.25">
      <c r="A12" s="6">
        <v>21059</v>
      </c>
      <c r="B12" s="11" t="s">
        <v>26</v>
      </c>
      <c r="C12" s="3">
        <v>46183</v>
      </c>
      <c r="D12" s="4"/>
      <c r="E12" s="3">
        <v>46231</v>
      </c>
      <c r="F12" s="12">
        <v>1.6135999999999999</v>
      </c>
      <c r="G12" s="16">
        <f t="shared" si="0"/>
        <v>364.32603296455181</v>
      </c>
      <c r="H12" s="16">
        <f t="shared" si="1"/>
        <v>336.72787979966608</v>
      </c>
      <c r="I12" s="16">
        <f t="shared" si="2"/>
        <v>352.48543689320383</v>
      </c>
      <c r="J12" s="19">
        <f t="shared" si="3"/>
        <v>351.17978321914057</v>
      </c>
      <c r="K12" s="5"/>
    </row>
    <row r="13" spans="1:14" x14ac:dyDescent="0.25">
      <c r="A13" s="6">
        <v>15015</v>
      </c>
      <c r="B13" s="11" t="s">
        <v>27</v>
      </c>
      <c r="C13" s="3">
        <v>46183</v>
      </c>
      <c r="D13" s="4"/>
      <c r="E13" s="3">
        <v>46231</v>
      </c>
      <c r="F13" s="12">
        <v>1.3640000000000001</v>
      </c>
      <c r="G13" s="16">
        <f t="shared" si="0"/>
        <v>307.9701964326033</v>
      </c>
      <c r="H13" s="16">
        <f t="shared" si="1"/>
        <v>284.64106844741235</v>
      </c>
      <c r="I13" s="16">
        <f t="shared" si="2"/>
        <v>297.96116504854371</v>
      </c>
      <c r="J13" s="19">
        <f t="shared" si="3"/>
        <v>296.8574766428531</v>
      </c>
      <c r="K13" s="5"/>
    </row>
    <row r="14" spans="1:14" x14ac:dyDescent="0.25">
      <c r="A14" s="6">
        <v>21058</v>
      </c>
      <c r="B14" s="11" t="s">
        <v>28</v>
      </c>
      <c r="C14" s="3">
        <v>46188</v>
      </c>
      <c r="D14" s="4"/>
      <c r="E14" s="3">
        <v>46231</v>
      </c>
      <c r="F14" s="12">
        <v>1.4067000000000001</v>
      </c>
      <c r="G14" s="16">
        <f t="shared" si="0"/>
        <v>317.61119891623395</v>
      </c>
      <c r="H14" s="16">
        <f t="shared" si="1"/>
        <v>293.55175292153586</v>
      </c>
      <c r="I14" s="16">
        <f t="shared" si="2"/>
        <v>307.28883495145629</v>
      </c>
      <c r="J14" s="19">
        <f t="shared" si="3"/>
        <v>306.15059559640872</v>
      </c>
      <c r="K14" s="5"/>
    </row>
    <row r="15" spans="1:14" x14ac:dyDescent="0.25">
      <c r="A15" s="6">
        <v>14442</v>
      </c>
      <c r="B15" s="11" t="s">
        <v>29</v>
      </c>
      <c r="C15" s="3">
        <v>46188</v>
      </c>
      <c r="D15" s="4"/>
      <c r="E15" s="3">
        <v>46231</v>
      </c>
      <c r="F15" s="12">
        <v>1.3925000000000001</v>
      </c>
      <c r="G15" s="16">
        <f t="shared" si="0"/>
        <v>314.40505757507339</v>
      </c>
      <c r="H15" s="16">
        <f t="shared" si="1"/>
        <v>290.58848080133555</v>
      </c>
      <c r="I15" s="16">
        <f t="shared" si="2"/>
        <v>304.18689320388347</v>
      </c>
      <c r="J15" s="19">
        <f t="shared" si="3"/>
        <v>303.06014386009747</v>
      </c>
      <c r="K15" s="5"/>
    </row>
    <row r="16" spans="1:14" x14ac:dyDescent="0.25">
      <c r="A16" s="6">
        <v>21065</v>
      </c>
      <c r="B16" s="11" t="s">
        <v>29</v>
      </c>
      <c r="C16" s="3">
        <v>46188</v>
      </c>
      <c r="D16" s="4"/>
      <c r="E16" s="3">
        <v>46231</v>
      </c>
      <c r="F16" s="12">
        <v>1.5683</v>
      </c>
      <c r="G16" s="16">
        <f t="shared" si="0"/>
        <v>354.09799051704675</v>
      </c>
      <c r="H16" s="16">
        <f t="shared" si="1"/>
        <v>327.27462437395656</v>
      </c>
      <c r="I16" s="16">
        <f t="shared" si="2"/>
        <v>342.58980582524271</v>
      </c>
      <c r="J16" s="19">
        <f t="shared" si="3"/>
        <v>341.32080690541534</v>
      </c>
      <c r="K16" s="5"/>
      <c r="L16" s="5"/>
      <c r="M16" s="8"/>
      <c r="N16" s="5"/>
    </row>
    <row r="17" spans="1:14" x14ac:dyDescent="0.25">
      <c r="A17" s="6">
        <v>14341</v>
      </c>
      <c r="B17" s="11" t="s">
        <v>0</v>
      </c>
      <c r="C17" s="3">
        <v>46188</v>
      </c>
      <c r="D17" s="4"/>
      <c r="E17" s="3">
        <v>46231</v>
      </c>
      <c r="F17" s="12">
        <v>1.5216000000000001</v>
      </c>
      <c r="G17" s="16">
        <f t="shared" si="0"/>
        <v>343.55384962745541</v>
      </c>
      <c r="H17" s="16">
        <f t="shared" si="1"/>
        <v>317.52921535893154</v>
      </c>
      <c r="I17" s="16">
        <f t="shared" si="2"/>
        <v>332.38834951456312</v>
      </c>
      <c r="J17" s="19">
        <f t="shared" si="3"/>
        <v>331.15713816698332</v>
      </c>
      <c r="K17" s="5"/>
      <c r="L17" s="5"/>
      <c r="M17" s="8"/>
      <c r="N17" s="5"/>
    </row>
    <row r="18" spans="1:14" x14ac:dyDescent="0.25">
      <c r="A18" s="6">
        <v>21062</v>
      </c>
      <c r="B18" s="11" t="s">
        <v>30</v>
      </c>
      <c r="C18" s="3">
        <v>46198</v>
      </c>
      <c r="D18" s="4"/>
      <c r="E18" s="3">
        <v>46231</v>
      </c>
      <c r="F18" s="12">
        <v>1.6148</v>
      </c>
      <c r="G18" s="16">
        <f t="shared" si="0"/>
        <v>364.59697448634006</v>
      </c>
      <c r="H18" s="16">
        <f t="shared" si="1"/>
        <v>336.97829716193655</v>
      </c>
      <c r="I18" s="16">
        <f t="shared" si="2"/>
        <v>352.74757281553394</v>
      </c>
      <c r="J18" s="19">
        <f t="shared" si="3"/>
        <v>351.44094815460352</v>
      </c>
      <c r="K18" s="5"/>
      <c r="L18" s="5"/>
      <c r="M18" s="8"/>
      <c r="N18" s="5"/>
    </row>
    <row r="19" spans="1:14" x14ac:dyDescent="0.25">
      <c r="A19" s="6">
        <v>20636</v>
      </c>
      <c r="B19" s="11" t="s">
        <v>31</v>
      </c>
      <c r="C19" s="3">
        <v>46198</v>
      </c>
      <c r="D19" s="4"/>
      <c r="E19" s="3">
        <v>46231</v>
      </c>
      <c r="F19" s="12">
        <v>1.1009</v>
      </c>
      <c r="G19" s="16">
        <f t="shared" si="0"/>
        <v>248.56626778053737</v>
      </c>
      <c r="H19" s="16">
        <f t="shared" si="1"/>
        <v>229.73706176961602</v>
      </c>
      <c r="I19" s="16">
        <f t="shared" si="2"/>
        <v>240.48786407766988</v>
      </c>
      <c r="J19" s="19">
        <f t="shared" si="3"/>
        <v>239.59706454260777</v>
      </c>
      <c r="K19" s="5"/>
      <c r="L19" s="5"/>
      <c r="M19" s="8"/>
      <c r="N19" s="5"/>
    </row>
    <row r="20" spans="1:14" x14ac:dyDescent="0.25">
      <c r="A20" s="6">
        <v>21056</v>
      </c>
      <c r="B20" s="11" t="s">
        <v>32</v>
      </c>
      <c r="C20" s="3">
        <v>46198</v>
      </c>
      <c r="D20" s="4"/>
      <c r="E20" s="3">
        <v>46231</v>
      </c>
      <c r="F20" s="12">
        <v>1.9733000000000001</v>
      </c>
      <c r="G20" s="16">
        <f t="shared" si="0"/>
        <v>445.54075412056898</v>
      </c>
      <c r="H20" s="16">
        <f t="shared" si="1"/>
        <v>411.79048414023373</v>
      </c>
      <c r="I20" s="16">
        <f t="shared" si="2"/>
        <v>431.06067961165047</v>
      </c>
      <c r="J20" s="19">
        <f t="shared" si="3"/>
        <v>429.46397262415104</v>
      </c>
      <c r="K20" s="5"/>
      <c r="L20" s="5"/>
      <c r="M20" s="8"/>
      <c r="N20" s="5"/>
    </row>
    <row r="21" spans="1:14" x14ac:dyDescent="0.25">
      <c r="A21" s="6">
        <v>21066</v>
      </c>
      <c r="B21" s="11" t="s">
        <v>33</v>
      </c>
      <c r="C21" s="3">
        <v>46198</v>
      </c>
      <c r="D21" s="4"/>
      <c r="E21" s="3">
        <v>46231</v>
      </c>
      <c r="F21" s="12">
        <v>1.0971</v>
      </c>
      <c r="G21" s="16">
        <f t="shared" si="0"/>
        <v>247.70828629487468</v>
      </c>
      <c r="H21" s="16">
        <f t="shared" si="1"/>
        <v>228.94407345575956</v>
      </c>
      <c r="I21" s="16">
        <f t="shared" si="2"/>
        <v>239.65776699029124</v>
      </c>
      <c r="J21" s="19">
        <f t="shared" si="3"/>
        <v>238.77004224697512</v>
      </c>
      <c r="K21" s="5"/>
      <c r="L21" s="5"/>
      <c r="M21" s="8"/>
      <c r="N21" s="5"/>
    </row>
    <row r="22" spans="1:14" x14ac:dyDescent="0.25">
      <c r="A22" s="6">
        <v>21060</v>
      </c>
      <c r="B22" s="11" t="s">
        <v>34</v>
      </c>
      <c r="C22" s="3">
        <v>46204</v>
      </c>
      <c r="D22" s="4"/>
      <c r="E22" s="3">
        <v>46231</v>
      </c>
      <c r="F22" s="12">
        <v>1.1655</v>
      </c>
      <c r="G22" s="16">
        <f t="shared" si="0"/>
        <v>263.15195303680287</v>
      </c>
      <c r="H22" s="16">
        <f t="shared" si="1"/>
        <v>243.21786310517527</v>
      </c>
      <c r="I22" s="16">
        <f t="shared" si="2"/>
        <v>254.59951456310677</v>
      </c>
      <c r="J22" s="19">
        <f t="shared" si="3"/>
        <v>253.65644356836165</v>
      </c>
      <c r="K22" s="5"/>
    </row>
    <row r="23" spans="1:14" x14ac:dyDescent="0.25">
      <c r="A23" s="20">
        <v>21063</v>
      </c>
      <c r="B23" s="21" t="s">
        <v>35</v>
      </c>
      <c r="C23" s="3">
        <v>46204</v>
      </c>
      <c r="D23" s="22"/>
      <c r="E23" s="3">
        <v>46231</v>
      </c>
      <c r="F23" s="22">
        <v>1.4111</v>
      </c>
      <c r="G23" s="16">
        <f t="shared" si="0"/>
        <v>318.60465116279073</v>
      </c>
      <c r="H23" s="16">
        <f t="shared" si="1"/>
        <v>294.46994991652753</v>
      </c>
      <c r="I23" s="16">
        <f t="shared" ref="I23:I24" si="4">(9/0.0412)*F23</f>
        <v>308.25</v>
      </c>
      <c r="J23" s="19">
        <f t="shared" ref="J23:J24" si="5">AVERAGE(G23:I23)</f>
        <v>307.10820035977275</v>
      </c>
    </row>
    <row r="24" spans="1:14" x14ac:dyDescent="0.25">
      <c r="A24" s="20">
        <v>18411</v>
      </c>
      <c r="B24" s="21" t="s">
        <v>36</v>
      </c>
      <c r="C24" s="3">
        <v>46204</v>
      </c>
      <c r="D24" s="22"/>
      <c r="E24" s="3">
        <v>46231</v>
      </c>
      <c r="F24" s="22">
        <v>1.4927999999999999</v>
      </c>
      <c r="G24" s="16">
        <f t="shared" si="0"/>
        <v>337.05125310453826</v>
      </c>
      <c r="H24" s="16">
        <f t="shared" si="1"/>
        <v>311.51919866444069</v>
      </c>
      <c r="I24" s="16">
        <f t="shared" si="4"/>
        <v>326.09708737864071</v>
      </c>
      <c r="J24" s="19">
        <f t="shared" si="5"/>
        <v>324.88917971587324</v>
      </c>
    </row>
  </sheetData>
  <sortState xmlns:xlrd2="http://schemas.microsoft.com/office/spreadsheetml/2017/richdata2" ref="A3:L22">
    <sortCondition ref="C3:C22"/>
  </sortState>
  <pageMargins left="0.7" right="0.7" top="0.75" bottom="0.75" header="0.3" footer="0.3"/>
  <pageSetup scale="91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FoilWeigh</vt:lpstr>
      <vt:lpstr>FoilWeigh!Print_Area</vt:lpstr>
      <vt:lpstr>FoilWeigh!Print_Titles</vt:lpstr>
    </vt:vector>
  </TitlesOfParts>
  <Company>Connecticut DEEP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Becker</dc:creator>
  <cp:lastModifiedBy>Towle, Alexander</cp:lastModifiedBy>
  <cp:lastPrinted>2018-05-11T13:29:04Z</cp:lastPrinted>
  <dcterms:created xsi:type="dcterms:W3CDTF">2015-04-13T14:05:34Z</dcterms:created>
  <dcterms:modified xsi:type="dcterms:W3CDTF">2026-07-28T19:17:38Z</dcterms:modified>
</cp:coreProperties>
</file>