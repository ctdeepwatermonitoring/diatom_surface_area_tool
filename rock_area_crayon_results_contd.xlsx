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user\Documents\diatom_surface_area_tool\"/>
    </mc:Choice>
  </mc:AlternateContent>
  <xr:revisionPtr revIDLastSave="0" documentId="8_{4F28C1E6-70D2-42D1-B41D-6BA643D710C2}" xr6:coauthVersionLast="36" xr6:coauthVersionMax="36" xr10:uidLastSave="{00000000-0000-0000-0000-000000000000}"/>
  <bookViews>
    <workbookView xWindow="0" yWindow="0" windowWidth="23040" windowHeight="8364"/>
  </bookViews>
  <sheets>
    <sheet name="rock_area_crayon_results_contd" sheetId="1" r:id="rId1"/>
  </sheets>
  <calcPr calcId="0"/>
</workbook>
</file>

<file path=xl/calcChain.xml><?xml version="1.0" encoding="utf-8"?>
<calcChain xmlns="http://schemas.openxmlformats.org/spreadsheetml/2006/main">
  <c r="C36" i="1" l="1"/>
  <c r="D36" i="1"/>
  <c r="E36" i="1"/>
  <c r="F36" i="1"/>
  <c r="G36" i="1"/>
  <c r="H36" i="1"/>
  <c r="I36" i="1"/>
  <c r="J36" i="1"/>
  <c r="K36" i="1"/>
  <c r="B36" i="1"/>
  <c r="C35" i="1"/>
  <c r="D35" i="1"/>
  <c r="E35" i="1"/>
  <c r="F35" i="1"/>
  <c r="G35" i="1"/>
  <c r="H35" i="1"/>
  <c r="I35" i="1"/>
  <c r="J35" i="1"/>
  <c r="K35" i="1"/>
  <c r="B35" i="1"/>
  <c r="C32" i="1"/>
  <c r="D32" i="1"/>
  <c r="E32" i="1"/>
  <c r="F32" i="1"/>
  <c r="G32" i="1"/>
  <c r="H32" i="1"/>
  <c r="I32" i="1"/>
  <c r="J32" i="1"/>
  <c r="K32" i="1"/>
  <c r="B32" i="1"/>
  <c r="C31" i="1"/>
  <c r="D31" i="1"/>
  <c r="E31" i="1"/>
  <c r="F31" i="1"/>
  <c r="G31" i="1"/>
  <c r="H31" i="1"/>
  <c r="I31" i="1"/>
  <c r="J31" i="1"/>
  <c r="K31" i="1"/>
  <c r="B31" i="1"/>
  <c r="C28" i="1"/>
  <c r="D28" i="1"/>
  <c r="E28" i="1"/>
  <c r="F28" i="1"/>
  <c r="G28" i="1"/>
  <c r="H28" i="1"/>
  <c r="I28" i="1"/>
  <c r="J28" i="1"/>
  <c r="K28" i="1"/>
  <c r="B28" i="1"/>
  <c r="C27" i="1"/>
  <c r="D27" i="1"/>
  <c r="E27" i="1"/>
  <c r="F27" i="1"/>
  <c r="G27" i="1"/>
  <c r="H27" i="1"/>
  <c r="I27" i="1"/>
  <c r="J27" i="1"/>
  <c r="K27" i="1"/>
  <c r="B27" i="1"/>
  <c r="J34" i="1"/>
  <c r="I34" i="1"/>
  <c r="G34" i="1"/>
  <c r="F34" i="1"/>
  <c r="J30" i="1"/>
  <c r="I30" i="1"/>
  <c r="G30" i="1"/>
  <c r="F30" i="1"/>
  <c r="J26" i="1"/>
  <c r="I26" i="1"/>
  <c r="G26" i="1"/>
  <c r="F26" i="1"/>
  <c r="J25" i="1"/>
  <c r="I25" i="1"/>
  <c r="G25" i="1"/>
  <c r="F25" i="1"/>
</calcChain>
</file>

<file path=xl/sharedStrings.xml><?xml version="1.0" encoding="utf-8"?>
<sst xmlns="http://schemas.openxmlformats.org/spreadsheetml/2006/main" count="118" uniqueCount="56">
  <si>
    <t>image_path</t>
  </si>
  <si>
    <t>sid</t>
  </si>
  <si>
    <t>dup_flag</t>
  </si>
  <si>
    <t>board_pixels</t>
  </si>
  <si>
    <t>rock_pixels</t>
  </si>
  <si>
    <t>rock_area_cm2</t>
  </si>
  <si>
    <t>ground_truth_cm2</t>
  </si>
  <si>
    <t>direction_error</t>
  </si>
  <si>
    <t>abs_error</t>
  </si>
  <si>
    <t>pct_error</t>
  </si>
  <si>
    <t>chosen_board_color</t>
  </si>
  <si>
    <t>chosen_rock_color</t>
  </si>
  <si>
    <t>crayon_test/Crayon Surface Area Photos\purple_crayon\14314_NatchaugRiver_Rocks_061026.JPG</t>
  </si>
  <si>
    <t>underestimate</t>
  </si>
  <si>
    <t>blue</t>
  </si>
  <si>
    <t>purple</t>
  </si>
  <si>
    <t>crayon_test/Crayon Surface Area Photos\purple_crayon\15015_SethWilliamsBrook_Rocks_061026.JPG</t>
  </si>
  <si>
    <t>crayon_test/Crayon Surface Area Photos\purple_crayon\18981_LymanBrook_Rocks_060826.JPG</t>
  </si>
  <si>
    <t>orange</t>
  </si>
  <si>
    <t>crayon_test/Crayon Surface Area Photos\purple_crayon\20460_SaffordBrook_RocksShade_060926.JPG</t>
  </si>
  <si>
    <t>overestimate</t>
  </si>
  <si>
    <t>crayon_test/Crayon Surface Area Photos\purple_crayon\20460_SaffordBrook_RocksSun_060926.JPG</t>
  </si>
  <si>
    <t>crayon_test/Crayon Surface Area Photos\purple_crayon\21059_FryBrook_Rocks_061026.JPG</t>
  </si>
  <si>
    <t>crayon_test/Crayon Surface Area Photos\purple_crayon\21060_MillRiver_Rocks1_070126.JPG</t>
  </si>
  <si>
    <t>crayon_test/Crayon Surface Area Photos\purple_crayon\21060_MillRiver_Rocks2_070126.JPG</t>
  </si>
  <si>
    <t>crayon_test/Crayon Surface Area Photos\purple_crayon\21061_RockadundeeBrookNNT_Rocks_060926.JPG</t>
  </si>
  <si>
    <t>crayon_test/Crayon Surface Area Photos\purple_crayon\21063_NorotonRiver_Rocks_070126.JPG</t>
  </si>
  <si>
    <t>crayon_test/Crayon Surface Area Photos\purple_crayon\21064-D_SalmonRiver_Rocks_060826.JPG</t>
  </si>
  <si>
    <t>crayon_test/Crayon Surface Area Photos\purple_crayon\21064_SalmonRiver_Rocks_060826.JPG</t>
  </si>
  <si>
    <t>crayon_test/Crayon Surface Area Photos\red_crayon\18411_PequonnockRiver_Rocks_070126.JPG</t>
  </si>
  <si>
    <t>red</t>
  </si>
  <si>
    <t>crayon_test/Crayon Surface Area Photos\red_crayon\20636_NonnewaugRiverNNT_Rocks_062526.JPG</t>
  </si>
  <si>
    <t>crayon_test/Crayon Surface Area Photos\red_crayon\21056_ChaseBrook_Rocks_062526.JPG</t>
  </si>
  <si>
    <t>crayon_test/Crayon Surface Area Photos\red_crayon\21062_NonnewaugRiver_RocksShade_062526.JPG</t>
  </si>
  <si>
    <t>crayon_test/Crayon Surface Area Photos\red_crayon\21062_NonnewaugRiver_RocksSun_062526.JPG</t>
  </si>
  <si>
    <t>crayon_test/Crayon Surface Area Photos\red_crayon\21066_TankerhoosenRiver_RocksShade_062526.JPG</t>
  </si>
  <si>
    <t>crayon_test/Crayon Surface Area Photos\red_crayon\21066_TankerhoosenRiver_RocksSun_062526.JPG</t>
  </si>
  <si>
    <t>crayon_test/Crayon Surface Area Photos\yellow_crayon\14441_SalmonRiver_Rocks_060826.JPG</t>
  </si>
  <si>
    <t>yellow</t>
  </si>
  <si>
    <t>crayon_test/Crayon Surface Area Photos\yellow_crayon\21057-D_DurkeeBrook_Rocks_060926.JPG</t>
  </si>
  <si>
    <t>crayon_test/Crayon Surface Area Photos\yellow_crayon\21057_DurkeeBrook_Rocks_060926.JPG</t>
  </si>
  <si>
    <t>10 underestimates, 12 overestimates</t>
  </si>
  <si>
    <t>Color chosen correctly in all cases</t>
  </si>
  <si>
    <t>TOTAL MEANS</t>
  </si>
  <si>
    <t>PURPLE MEANS</t>
  </si>
  <si>
    <t>RED MEANS</t>
  </si>
  <si>
    <t>YELLOW MEANS</t>
  </si>
  <si>
    <t>6 underestimates, 6 overestimates</t>
  </si>
  <si>
    <t>2 underestimates, 5 overestimates</t>
  </si>
  <si>
    <t>2 underestimates, 1 overestimate</t>
  </si>
  <si>
    <t>PURPLE MIN ERROR</t>
  </si>
  <si>
    <t>PURPLE MAX ERROR</t>
  </si>
  <si>
    <t>RED MIN ERROR</t>
  </si>
  <si>
    <t>RED MAX ERROR</t>
  </si>
  <si>
    <t>YELLOW MIN ERROR</t>
  </si>
  <si>
    <t>YELLOW MAX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</si>
</sst>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A2" workbookViewId="0">
      <selection activeCell="K35" sqref="K35"/>
    </sheetView>
  </sheetViews>
  <sheetFormatPr defaultRowHeight="14.4" x14ac:dyDescent="0.3"/>
  <cols>
    <col min="1" max="1" width="18.77734375" customWidth="1"/>
    <col min="2" max="2" width="9.88671875" customWidth="1"/>
    <col min="8" max="8" width="31.33203125" customWidth="1"/>
    <col min="11" max="11" width="29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14314</v>
      </c>
      <c r="C2">
        <v>0</v>
      </c>
      <c r="D2">
        <v>9631435</v>
      </c>
      <c r="E2">
        <v>2210795</v>
      </c>
      <c r="F2">
        <v>319.87379292410702</v>
      </c>
      <c r="G2">
        <v>417.66802303907502</v>
      </c>
      <c r="H2" t="s">
        <v>13</v>
      </c>
      <c r="I2">
        <v>97.794230114968499</v>
      </c>
      <c r="J2">
        <v>23.414344580030001</v>
      </c>
      <c r="K2" t="s">
        <v>14</v>
      </c>
      <c r="L2" t="s">
        <v>15</v>
      </c>
    </row>
    <row r="3" spans="1:12" x14ac:dyDescent="0.3">
      <c r="A3" t="s">
        <v>16</v>
      </c>
      <c r="B3">
        <v>15015</v>
      </c>
      <c r="C3">
        <v>0</v>
      </c>
      <c r="D3">
        <v>9707630</v>
      </c>
      <c r="E3">
        <v>2001262</v>
      </c>
      <c r="F3">
        <v>287.28431703177802</v>
      </c>
      <c r="G3">
        <v>296.85747664285299</v>
      </c>
      <c r="H3" t="s">
        <v>13</v>
      </c>
      <c r="I3">
        <v>9.5731596110750203</v>
      </c>
      <c r="J3">
        <v>3.2248335865875499</v>
      </c>
      <c r="K3" t="s">
        <v>14</v>
      </c>
      <c r="L3" t="s">
        <v>15</v>
      </c>
    </row>
    <row r="4" spans="1:12" x14ac:dyDescent="0.3">
      <c r="A4" t="s">
        <v>17</v>
      </c>
      <c r="B4">
        <v>18981</v>
      </c>
      <c r="C4">
        <v>0</v>
      </c>
      <c r="D4">
        <v>9700485</v>
      </c>
      <c r="E4">
        <v>97532</v>
      </c>
      <c r="F4">
        <v>14.011184952010099</v>
      </c>
      <c r="G4">
        <v>296.05221809184201</v>
      </c>
      <c r="H4" t="s">
        <v>13</v>
      </c>
      <c r="I4">
        <v>282.041033139832</v>
      </c>
      <c r="J4">
        <v>95.267326472904998</v>
      </c>
      <c r="K4" t="s">
        <v>18</v>
      </c>
      <c r="L4" t="s">
        <v>15</v>
      </c>
    </row>
    <row r="5" spans="1:12" x14ac:dyDescent="0.3">
      <c r="A5" t="s">
        <v>19</v>
      </c>
      <c r="B5">
        <v>20460</v>
      </c>
      <c r="C5">
        <v>0</v>
      </c>
      <c r="D5">
        <v>9974611</v>
      </c>
      <c r="E5">
        <v>2611959</v>
      </c>
      <c r="F5">
        <v>364.91487957078198</v>
      </c>
      <c r="G5">
        <v>344.41125864172602</v>
      </c>
      <c r="H5" t="s">
        <v>20</v>
      </c>
      <c r="I5">
        <v>20.5036209290556</v>
      </c>
      <c r="J5">
        <v>5.9532377106128598</v>
      </c>
      <c r="K5" t="s">
        <v>14</v>
      </c>
      <c r="L5" t="s">
        <v>15</v>
      </c>
    </row>
    <row r="6" spans="1:12" x14ac:dyDescent="0.3">
      <c r="A6" t="s">
        <v>21</v>
      </c>
      <c r="B6">
        <v>20460</v>
      </c>
      <c r="C6">
        <v>0</v>
      </c>
      <c r="D6">
        <v>9756538</v>
      </c>
      <c r="E6">
        <v>2673002</v>
      </c>
      <c r="F6">
        <v>381.79015711220501</v>
      </c>
      <c r="G6">
        <v>344.41125864172602</v>
      </c>
      <c r="H6" t="s">
        <v>20</v>
      </c>
      <c r="I6">
        <v>37.378898470478497</v>
      </c>
      <c r="J6">
        <v>10.8529839058954</v>
      </c>
      <c r="K6" t="s">
        <v>14</v>
      </c>
      <c r="L6" t="s">
        <v>15</v>
      </c>
    </row>
    <row r="7" spans="1:12" x14ac:dyDescent="0.3">
      <c r="A7" t="s">
        <v>22</v>
      </c>
      <c r="B7">
        <v>21059</v>
      </c>
      <c r="C7">
        <v>0</v>
      </c>
      <c r="D7">
        <v>9836621</v>
      </c>
      <c r="E7">
        <v>2849667</v>
      </c>
      <c r="F7">
        <v>403.709862290638</v>
      </c>
      <c r="G7">
        <v>351.17978321914001</v>
      </c>
      <c r="H7" t="s">
        <v>20</v>
      </c>
      <c r="I7">
        <v>52.530079071497603</v>
      </c>
      <c r="J7">
        <v>14.9581728737266</v>
      </c>
      <c r="K7" t="s">
        <v>14</v>
      </c>
      <c r="L7" t="s">
        <v>15</v>
      </c>
    </row>
    <row r="8" spans="1:12" x14ac:dyDescent="0.3">
      <c r="A8" t="s">
        <v>23</v>
      </c>
      <c r="B8">
        <v>21060</v>
      </c>
      <c r="C8">
        <v>0</v>
      </c>
      <c r="D8">
        <v>8927207</v>
      </c>
      <c r="E8">
        <v>1647488</v>
      </c>
      <c r="F8">
        <v>257.17446155923102</v>
      </c>
      <c r="G8">
        <v>253.656443568361</v>
      </c>
      <c r="H8" t="s">
        <v>20</v>
      </c>
      <c r="I8">
        <v>3.5180179908695299</v>
      </c>
      <c r="J8">
        <v>1.3869223826444601</v>
      </c>
      <c r="K8" t="s">
        <v>14</v>
      </c>
      <c r="L8" t="s">
        <v>15</v>
      </c>
    </row>
    <row r="9" spans="1:12" x14ac:dyDescent="0.3">
      <c r="A9" t="s">
        <v>24</v>
      </c>
      <c r="B9">
        <v>21060</v>
      </c>
      <c r="C9">
        <v>0</v>
      </c>
      <c r="D9">
        <v>9751534</v>
      </c>
      <c r="E9">
        <v>1219212</v>
      </c>
      <c r="F9">
        <v>174.23182014924001</v>
      </c>
      <c r="G9">
        <v>253.656443568361</v>
      </c>
      <c r="H9" t="s">
        <v>13</v>
      </c>
      <c r="I9">
        <v>79.424623419121502</v>
      </c>
      <c r="J9">
        <v>31.311888750705499</v>
      </c>
      <c r="K9" t="s">
        <v>14</v>
      </c>
      <c r="L9" t="s">
        <v>15</v>
      </c>
    </row>
    <row r="10" spans="1:12" x14ac:dyDescent="0.3">
      <c r="A10" t="s">
        <v>25</v>
      </c>
      <c r="B10">
        <v>21061</v>
      </c>
      <c r="C10">
        <v>0</v>
      </c>
      <c r="D10">
        <v>9680835</v>
      </c>
      <c r="E10">
        <v>2607780</v>
      </c>
      <c r="F10">
        <v>375.38707609085299</v>
      </c>
      <c r="G10">
        <v>336.46749185472902</v>
      </c>
      <c r="H10" t="s">
        <v>20</v>
      </c>
      <c r="I10">
        <v>38.919584236124301</v>
      </c>
      <c r="J10">
        <v>11.5671157476716</v>
      </c>
      <c r="K10" t="s">
        <v>14</v>
      </c>
      <c r="L10" t="s">
        <v>15</v>
      </c>
    </row>
    <row r="11" spans="1:12" x14ac:dyDescent="0.3">
      <c r="A11" t="s">
        <v>26</v>
      </c>
      <c r="B11">
        <v>21063</v>
      </c>
      <c r="C11">
        <v>0</v>
      </c>
      <c r="D11">
        <v>9174164</v>
      </c>
      <c r="E11">
        <v>1786066</v>
      </c>
      <c r="F11">
        <v>271.30149576676399</v>
      </c>
      <c r="G11">
        <v>307.10820035977201</v>
      </c>
      <c r="H11" t="s">
        <v>13</v>
      </c>
      <c r="I11">
        <v>35.806704593008597</v>
      </c>
      <c r="J11">
        <v>11.6593124348557</v>
      </c>
      <c r="K11" t="s">
        <v>14</v>
      </c>
      <c r="L11" t="s">
        <v>15</v>
      </c>
    </row>
    <row r="12" spans="1:12" x14ac:dyDescent="0.3">
      <c r="A12" t="s">
        <v>27</v>
      </c>
      <c r="B12">
        <v>21064</v>
      </c>
      <c r="C12">
        <v>1</v>
      </c>
      <c r="D12">
        <v>9677017</v>
      </c>
      <c r="E12">
        <v>2018093</v>
      </c>
      <c r="F12">
        <v>290.61689367093101</v>
      </c>
      <c r="G12">
        <v>387.13348933453602</v>
      </c>
      <c r="H12" t="s">
        <v>13</v>
      </c>
      <c r="I12">
        <v>96.516595663604093</v>
      </c>
      <c r="J12">
        <v>24.931089229586298</v>
      </c>
      <c r="K12" t="s">
        <v>18</v>
      </c>
      <c r="L12" t="s">
        <v>15</v>
      </c>
    </row>
    <row r="13" spans="1:12" x14ac:dyDescent="0.3">
      <c r="A13" t="s">
        <v>28</v>
      </c>
      <c r="B13">
        <v>21064</v>
      </c>
      <c r="C13">
        <v>0</v>
      </c>
      <c r="D13">
        <v>9585243</v>
      </c>
      <c r="E13">
        <v>2242775</v>
      </c>
      <c r="F13">
        <v>326.06468433194601</v>
      </c>
      <c r="G13">
        <v>314.05083489416199</v>
      </c>
      <c r="H13" t="s">
        <v>20</v>
      </c>
      <c r="I13">
        <v>12.013849437784399</v>
      </c>
      <c r="J13">
        <v>3.82544738078253</v>
      </c>
      <c r="K13" t="s">
        <v>18</v>
      </c>
      <c r="L13" t="s">
        <v>15</v>
      </c>
    </row>
    <row r="14" spans="1:12" x14ac:dyDescent="0.3">
      <c r="A14" t="s">
        <v>29</v>
      </c>
      <c r="B14">
        <v>18411</v>
      </c>
      <c r="C14">
        <v>0</v>
      </c>
      <c r="D14">
        <v>9368076</v>
      </c>
      <c r="E14">
        <v>1902559</v>
      </c>
      <c r="F14">
        <v>283.01464710474102</v>
      </c>
      <c r="G14">
        <v>324.88917971587301</v>
      </c>
      <c r="H14" t="s">
        <v>13</v>
      </c>
      <c r="I14">
        <v>41.874532611131499</v>
      </c>
      <c r="J14">
        <v>12.888866489106301</v>
      </c>
      <c r="K14" t="s">
        <v>14</v>
      </c>
      <c r="L14" t="s">
        <v>30</v>
      </c>
    </row>
    <row r="15" spans="1:12" x14ac:dyDescent="0.3">
      <c r="A15" t="s">
        <v>31</v>
      </c>
      <c r="B15">
        <v>20636</v>
      </c>
      <c r="C15">
        <v>0</v>
      </c>
      <c r="D15">
        <v>9433682</v>
      </c>
      <c r="E15">
        <v>1714829</v>
      </c>
      <c r="F15">
        <v>253.31492069611801</v>
      </c>
      <c r="G15">
        <v>239.597064542607</v>
      </c>
      <c r="H15" t="s">
        <v>20</v>
      </c>
      <c r="I15">
        <v>13.717856153510599</v>
      </c>
      <c r="J15">
        <v>5.7253857344613701</v>
      </c>
      <c r="K15" t="s">
        <v>14</v>
      </c>
      <c r="L15" t="s">
        <v>30</v>
      </c>
    </row>
    <row r="16" spans="1:12" x14ac:dyDescent="0.3">
      <c r="A16" t="s">
        <v>32</v>
      </c>
      <c r="B16">
        <v>21056</v>
      </c>
      <c r="C16">
        <v>0</v>
      </c>
      <c r="D16">
        <v>7061575</v>
      </c>
      <c r="E16">
        <v>1886698</v>
      </c>
      <c r="F16">
        <v>372.32482787887898</v>
      </c>
      <c r="G16">
        <v>429.46397262415098</v>
      </c>
      <c r="H16" t="s">
        <v>13</v>
      </c>
      <c r="I16">
        <v>57.139144745271302</v>
      </c>
      <c r="J16">
        <v>13.304758579895401</v>
      </c>
      <c r="K16" t="s">
        <v>14</v>
      </c>
      <c r="L16" t="s">
        <v>30</v>
      </c>
    </row>
    <row r="17" spans="1:12" x14ac:dyDescent="0.3">
      <c r="A17" t="s">
        <v>33</v>
      </c>
      <c r="B17">
        <v>21062</v>
      </c>
      <c r="C17">
        <v>0</v>
      </c>
      <c r="D17">
        <v>9997831</v>
      </c>
      <c r="E17">
        <v>2635877</v>
      </c>
      <c r="F17">
        <v>367.40116886264599</v>
      </c>
      <c r="G17">
        <v>351.44094815460301</v>
      </c>
      <c r="H17" t="s">
        <v>20</v>
      </c>
      <c r="I17">
        <v>15.9602207080427</v>
      </c>
      <c r="J17">
        <v>4.5413662784171702</v>
      </c>
      <c r="K17" t="s">
        <v>14</v>
      </c>
      <c r="L17" t="s">
        <v>30</v>
      </c>
    </row>
    <row r="18" spans="1:12" x14ac:dyDescent="0.3">
      <c r="A18" t="s">
        <v>34</v>
      </c>
      <c r="B18">
        <v>21062</v>
      </c>
      <c r="C18">
        <v>0</v>
      </c>
      <c r="D18">
        <v>9734404</v>
      </c>
      <c r="E18">
        <v>2599268</v>
      </c>
      <c r="F18">
        <v>372.10274862444498</v>
      </c>
      <c r="G18">
        <v>351.44094815460301</v>
      </c>
      <c r="H18" t="s">
        <v>20</v>
      </c>
      <c r="I18">
        <v>20.661800469842301</v>
      </c>
      <c r="J18">
        <v>5.8791670630119404</v>
      </c>
      <c r="K18" t="s">
        <v>14</v>
      </c>
      <c r="L18" t="s">
        <v>30</v>
      </c>
    </row>
    <row r="19" spans="1:12" x14ac:dyDescent="0.3">
      <c r="A19" t="s">
        <v>35</v>
      </c>
      <c r="B19">
        <v>21066</v>
      </c>
      <c r="C19">
        <v>0</v>
      </c>
      <c r="D19">
        <v>9453542</v>
      </c>
      <c r="E19">
        <v>1877576</v>
      </c>
      <c r="F19">
        <v>276.77327434157399</v>
      </c>
      <c r="G19">
        <v>238.77004224697501</v>
      </c>
      <c r="H19" t="s">
        <v>20</v>
      </c>
      <c r="I19">
        <v>38.003232094599703</v>
      </c>
      <c r="J19">
        <v>15.9162480087391</v>
      </c>
      <c r="K19" t="s">
        <v>14</v>
      </c>
      <c r="L19" t="s">
        <v>30</v>
      </c>
    </row>
    <row r="20" spans="1:12" x14ac:dyDescent="0.3">
      <c r="A20" t="s">
        <v>36</v>
      </c>
      <c r="B20">
        <v>21066</v>
      </c>
      <c r="C20">
        <v>0</v>
      </c>
      <c r="D20">
        <v>9629936</v>
      </c>
      <c r="E20">
        <v>1823980</v>
      </c>
      <c r="F20">
        <v>263.94768391897901</v>
      </c>
      <c r="G20">
        <v>238.77004224697501</v>
      </c>
      <c r="H20" t="s">
        <v>20</v>
      </c>
      <c r="I20">
        <v>25.1776416720041</v>
      </c>
      <c r="J20">
        <v>10.544723883727899</v>
      </c>
      <c r="K20" t="s">
        <v>14</v>
      </c>
      <c r="L20" t="s">
        <v>30</v>
      </c>
    </row>
    <row r="21" spans="1:12" x14ac:dyDescent="0.3">
      <c r="A21" t="s">
        <v>37</v>
      </c>
      <c r="B21">
        <v>14441</v>
      </c>
      <c r="C21">
        <v>0</v>
      </c>
      <c r="D21">
        <v>9354603</v>
      </c>
      <c r="E21">
        <v>2275413</v>
      </c>
      <c r="F21">
        <v>338.96593733938198</v>
      </c>
      <c r="G21">
        <v>368.39490521507099</v>
      </c>
      <c r="H21" t="s">
        <v>13</v>
      </c>
      <c r="I21">
        <v>29.428967875689001</v>
      </c>
      <c r="J21">
        <v>7.9884296604232796</v>
      </c>
      <c r="K21" t="s">
        <v>18</v>
      </c>
      <c r="L21" t="s">
        <v>38</v>
      </c>
    </row>
    <row r="22" spans="1:12" x14ac:dyDescent="0.3">
      <c r="A22" t="s">
        <v>39</v>
      </c>
      <c r="B22">
        <v>21057</v>
      </c>
      <c r="C22">
        <v>1</v>
      </c>
      <c r="D22">
        <v>9977747</v>
      </c>
      <c r="E22">
        <v>2788399</v>
      </c>
      <c r="F22">
        <v>389.442742684736</v>
      </c>
      <c r="G22">
        <v>350.91861828367701</v>
      </c>
      <c r="H22" t="s">
        <v>20</v>
      </c>
      <c r="I22">
        <v>38.5241244010586</v>
      </c>
      <c r="J22">
        <v>10.978079359105401</v>
      </c>
      <c r="K22" t="s">
        <v>14</v>
      </c>
      <c r="L22" t="s">
        <v>38</v>
      </c>
    </row>
    <row r="23" spans="1:12" x14ac:dyDescent="0.3">
      <c r="A23" t="s">
        <v>40</v>
      </c>
      <c r="B23">
        <v>21057</v>
      </c>
      <c r="C23">
        <v>0</v>
      </c>
      <c r="D23">
        <v>9305160</v>
      </c>
      <c r="E23">
        <v>2985841</v>
      </c>
      <c r="F23">
        <v>447.16110070644601</v>
      </c>
      <c r="G23">
        <v>459.71557764860597</v>
      </c>
      <c r="H23" t="s">
        <v>13</v>
      </c>
      <c r="I23">
        <v>12.5544769421592</v>
      </c>
      <c r="J23">
        <v>2.7309226731828402</v>
      </c>
      <c r="K23" t="s">
        <v>14</v>
      </c>
      <c r="L23" t="s">
        <v>38</v>
      </c>
    </row>
    <row r="25" spans="1:12" x14ac:dyDescent="0.3">
      <c r="A25" s="1" t="s">
        <v>43</v>
      </c>
      <c r="B25" s="1"/>
      <c r="C25" s="1"/>
      <c r="D25" s="1"/>
      <c r="E25" s="1"/>
      <c r="F25" s="1">
        <f>AVERAGE(F2:F23)</f>
        <v>310.49134898220143</v>
      </c>
      <c r="G25" s="1">
        <f>AVERAGE(G2:G23)</f>
        <v>329.82064639497378</v>
      </c>
      <c r="H25" s="1" t="s">
        <v>41</v>
      </c>
      <c r="I25" s="1">
        <f>AVERAGE(I2:I23)</f>
        <v>48.139199743214938</v>
      </c>
      <c r="J25" s="1">
        <f>AVERAGE(J2:J23)</f>
        <v>14.94775558118519</v>
      </c>
      <c r="K25" s="1" t="s">
        <v>42</v>
      </c>
      <c r="L25" s="1"/>
    </row>
    <row r="26" spans="1:12" x14ac:dyDescent="0.3">
      <c r="A26" s="1" t="s">
        <v>44</v>
      </c>
      <c r="B26" s="1"/>
      <c r="C26" s="1"/>
      <c r="D26" s="1"/>
      <c r="E26" s="1"/>
      <c r="F26" s="1">
        <f>AVERAGE(F2:F13)</f>
        <v>288.8633854542071</v>
      </c>
      <c r="G26" s="1">
        <f>AVERAGE(G2:G13)</f>
        <v>325.22107682135692</v>
      </c>
      <c r="H26" s="1" t="s">
        <v>47</v>
      </c>
      <c r="I26" s="1">
        <f>AVERAGE(I2:I13)</f>
        <v>63.835033056451636</v>
      </c>
      <c r="J26" s="1">
        <f>AVERAGE(J2:J13)</f>
        <v>19.862722921333624</v>
      </c>
      <c r="K26" s="1" t="s">
        <v>42</v>
      </c>
      <c r="L26" s="1"/>
    </row>
    <row r="27" spans="1:12" x14ac:dyDescent="0.3">
      <c r="A27" s="1" t="s">
        <v>50</v>
      </c>
      <c r="B27" s="1">
        <f>INDEX(B$2:B$13, MATCH(MIN($J$2:$J$13), $J$2:$J$13, 0))</f>
        <v>21060</v>
      </c>
      <c r="C27" s="1">
        <f t="shared" ref="C27:L27" si="0">INDEX(C$2:C$13, MATCH(MIN($J$2:$J$13), $J$2:$J$13, 0))</f>
        <v>0</v>
      </c>
      <c r="D27" s="1">
        <f t="shared" si="0"/>
        <v>8927207</v>
      </c>
      <c r="E27" s="1">
        <f t="shared" si="0"/>
        <v>1647488</v>
      </c>
      <c r="F27" s="1">
        <f t="shared" si="0"/>
        <v>257.17446155923102</v>
      </c>
      <c r="G27" s="1">
        <f t="shared" si="0"/>
        <v>253.656443568361</v>
      </c>
      <c r="H27" s="1" t="str">
        <f t="shared" si="0"/>
        <v>overestimate</v>
      </c>
      <c r="I27" s="1">
        <f t="shared" si="0"/>
        <v>3.5180179908695299</v>
      </c>
      <c r="J27" s="1">
        <f t="shared" si="0"/>
        <v>1.3869223826444601</v>
      </c>
      <c r="K27" s="1" t="str">
        <f t="shared" si="0"/>
        <v>blue</v>
      </c>
      <c r="L27" s="1"/>
    </row>
    <row r="28" spans="1:12" x14ac:dyDescent="0.3">
      <c r="A28" s="1" t="s">
        <v>51</v>
      </c>
      <c r="B28" s="1">
        <f>INDEX(B$2:B$13, MATCH(MAX($J$2:$J$13), $J$2:$J$13, 0))</f>
        <v>18981</v>
      </c>
      <c r="C28" s="1">
        <f t="shared" ref="C28:K28" si="1">INDEX(C$2:C$13, MATCH(MAX($J$2:$J$13), $J$2:$J$13, 0))</f>
        <v>0</v>
      </c>
      <c r="D28" s="1">
        <f t="shared" si="1"/>
        <v>9700485</v>
      </c>
      <c r="E28" s="1">
        <f t="shared" si="1"/>
        <v>97532</v>
      </c>
      <c r="F28" s="1">
        <f t="shared" si="1"/>
        <v>14.011184952010099</v>
      </c>
      <c r="G28" s="1">
        <f t="shared" si="1"/>
        <v>296.05221809184201</v>
      </c>
      <c r="H28" s="1" t="str">
        <f t="shared" si="1"/>
        <v>underestimate</v>
      </c>
      <c r="I28" s="1">
        <f t="shared" si="1"/>
        <v>282.041033139832</v>
      </c>
      <c r="J28" s="1">
        <f t="shared" si="1"/>
        <v>95.267326472904998</v>
      </c>
      <c r="K28" s="1" t="str">
        <f t="shared" si="1"/>
        <v>orange</v>
      </c>
      <c r="L28" s="1"/>
    </row>
    <row r="29" spans="1:12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 t="s">
        <v>45</v>
      </c>
      <c r="B30" s="1"/>
      <c r="C30" s="1"/>
      <c r="D30" s="1"/>
      <c r="E30" s="1"/>
      <c r="F30" s="1">
        <f>AVERAGE(F14:F20)</f>
        <v>312.69703877534033</v>
      </c>
      <c r="G30" s="1">
        <f>AVERAGE(G14:G20)</f>
        <v>310.62459966939815</v>
      </c>
      <c r="H30" s="1" t="s">
        <v>48</v>
      </c>
      <c r="I30" s="1">
        <f>AVERAGE(I14:I20)</f>
        <v>30.362061207771742</v>
      </c>
      <c r="J30" s="1">
        <f>AVERAGE(J14:J20)</f>
        <v>9.8286451481941697</v>
      </c>
      <c r="K30" s="1" t="s">
        <v>42</v>
      </c>
      <c r="L30" s="1"/>
    </row>
    <row r="31" spans="1:12" x14ac:dyDescent="0.3">
      <c r="A31" s="1" t="s">
        <v>52</v>
      </c>
      <c r="B31" s="1">
        <f>INDEX(B$14:B$20, MATCH(MIN($J$14:$J$20), $J$14:$J$20, 0))</f>
        <v>21062</v>
      </c>
      <c r="C31" s="1">
        <f t="shared" ref="C31:K31" si="2">INDEX(C$14:C$20, MATCH(MIN($J$14:$J$20), $J$14:$J$20, 0))</f>
        <v>0</v>
      </c>
      <c r="D31" s="1">
        <f t="shared" si="2"/>
        <v>9997831</v>
      </c>
      <c r="E31" s="1">
        <f t="shared" si="2"/>
        <v>2635877</v>
      </c>
      <c r="F31" s="1">
        <f t="shared" si="2"/>
        <v>367.40116886264599</v>
      </c>
      <c r="G31" s="1">
        <f t="shared" si="2"/>
        <v>351.44094815460301</v>
      </c>
      <c r="H31" s="1" t="str">
        <f t="shared" si="2"/>
        <v>overestimate</v>
      </c>
      <c r="I31" s="1">
        <f t="shared" si="2"/>
        <v>15.9602207080427</v>
      </c>
      <c r="J31" s="1">
        <f t="shared" si="2"/>
        <v>4.5413662784171702</v>
      </c>
      <c r="K31" s="1" t="str">
        <f t="shared" si="2"/>
        <v>blue</v>
      </c>
      <c r="L31" s="1"/>
    </row>
    <row r="32" spans="1:12" x14ac:dyDescent="0.3">
      <c r="A32" s="1" t="s">
        <v>53</v>
      </c>
      <c r="B32" s="1">
        <f>INDEX(B$14:B$20, MATCH(MAX($J$14:$J$20), $J$14:$J$20, 0))</f>
        <v>21066</v>
      </c>
      <c r="C32" s="1">
        <f t="shared" ref="C32:K32" si="3">INDEX(C$14:C$20, MATCH(MAX($J$14:$J$20), $J$14:$J$20, 0))</f>
        <v>0</v>
      </c>
      <c r="D32" s="1">
        <f t="shared" si="3"/>
        <v>9453542</v>
      </c>
      <c r="E32" s="1">
        <f t="shared" si="3"/>
        <v>1877576</v>
      </c>
      <c r="F32" s="1">
        <f t="shared" si="3"/>
        <v>276.77327434157399</v>
      </c>
      <c r="G32" s="1">
        <f t="shared" si="3"/>
        <v>238.77004224697501</v>
      </c>
      <c r="H32" s="1" t="str">
        <f t="shared" si="3"/>
        <v>overestimate</v>
      </c>
      <c r="I32" s="1">
        <f t="shared" si="3"/>
        <v>38.003232094599703</v>
      </c>
      <c r="J32" s="1">
        <f t="shared" si="3"/>
        <v>15.9162480087391</v>
      </c>
      <c r="K32" s="1" t="str">
        <f t="shared" si="3"/>
        <v>blue</v>
      </c>
      <c r="L32" s="1"/>
    </row>
    <row r="33" spans="1:12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 t="s">
        <v>46</v>
      </c>
      <c r="B34" s="1"/>
      <c r="C34" s="1"/>
      <c r="D34" s="1"/>
      <c r="E34" s="1"/>
      <c r="F34" s="1">
        <f>AVERAGE(F21:F23)</f>
        <v>391.85659357685466</v>
      </c>
      <c r="G34" s="1">
        <f>AVERAGE(G21:G23)</f>
        <v>393.0097003824514</v>
      </c>
      <c r="H34" s="1" t="s">
        <v>49</v>
      </c>
      <c r="I34" s="1">
        <f>AVERAGE(I21:I23)</f>
        <v>26.835856406302266</v>
      </c>
      <c r="J34" s="1">
        <f>AVERAGE(J21:J23)</f>
        <v>7.2324772309038394</v>
      </c>
      <c r="K34" s="1" t="s">
        <v>42</v>
      </c>
      <c r="L34" s="1"/>
    </row>
    <row r="35" spans="1:12" x14ac:dyDescent="0.3">
      <c r="A35" s="1" t="s">
        <v>54</v>
      </c>
      <c r="B35" s="1">
        <f>INDEX(B$21:B$23, MATCH(MIN($J$21:$J$23), $J$21:$J$23, 0))</f>
        <v>21057</v>
      </c>
      <c r="C35" s="1">
        <f t="shared" ref="C35:K35" si="4">INDEX(C$21:C$23, MATCH(MIN($J$21:$J$23), $J$21:$J$23, 0))</f>
        <v>0</v>
      </c>
      <c r="D35" s="1">
        <f t="shared" si="4"/>
        <v>9305160</v>
      </c>
      <c r="E35" s="1">
        <f t="shared" si="4"/>
        <v>2985841</v>
      </c>
      <c r="F35" s="1">
        <f t="shared" si="4"/>
        <v>447.16110070644601</v>
      </c>
      <c r="G35" s="1">
        <f t="shared" si="4"/>
        <v>459.71557764860597</v>
      </c>
      <c r="H35" s="1" t="str">
        <f t="shared" si="4"/>
        <v>underestimate</v>
      </c>
      <c r="I35" s="1">
        <f t="shared" si="4"/>
        <v>12.5544769421592</v>
      </c>
      <c r="J35" s="1">
        <f t="shared" si="4"/>
        <v>2.7309226731828402</v>
      </c>
      <c r="K35" s="1" t="str">
        <f t="shared" si="4"/>
        <v>blue</v>
      </c>
      <c r="L35" s="1"/>
    </row>
    <row r="36" spans="1:12" x14ac:dyDescent="0.3">
      <c r="A36" s="1" t="s">
        <v>55</v>
      </c>
      <c r="B36" s="1">
        <f>INDEX(B$21:B$23, MATCH(MAX($J$21:$J$23), $J$21:$J$23, 0))</f>
        <v>21057</v>
      </c>
      <c r="C36" s="1">
        <f t="shared" ref="C36:K36" si="5">INDEX(C$21:C$23, MATCH(MAX($J$21:$J$23), $J$21:$J$23, 0))</f>
        <v>1</v>
      </c>
      <c r="D36" s="1">
        <f t="shared" si="5"/>
        <v>9977747</v>
      </c>
      <c r="E36" s="1">
        <f t="shared" si="5"/>
        <v>2788399</v>
      </c>
      <c r="F36" s="1">
        <f t="shared" si="5"/>
        <v>389.442742684736</v>
      </c>
      <c r="G36" s="1">
        <f t="shared" si="5"/>
        <v>350.91861828367701</v>
      </c>
      <c r="H36" s="1" t="str">
        <f t="shared" si="5"/>
        <v>overestimate</v>
      </c>
      <c r="I36" s="1">
        <f t="shared" si="5"/>
        <v>38.5241244010586</v>
      </c>
      <c r="J36" s="1">
        <f t="shared" si="5"/>
        <v>10.978079359105401</v>
      </c>
      <c r="K36" s="1" t="str">
        <f t="shared" si="5"/>
        <v>blue</v>
      </c>
      <c r="L36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rock_area_crayon_results_contd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deepuser</dc:creator>
  <cp:lastModifiedBy>deepuser</cp:lastModifiedBy>
  <dcterms:created xsi:type="dcterms:W3CDTF">2026-08-06T15:25:47Z</dcterms:created>
  <dcterms:modified xsi:type="dcterms:W3CDTF">2026-08-06T15:25:47Z</dcterms:modified>
</cp:coreProperties>
</file>