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ilWeigh" sheetId="1" state="visible" r:id="rId2"/>
  </sheets>
  <definedNames>
    <definedName function="false" hidden="false" localSheetId="0" name="_xlnm.Print_Area" vbProcedure="false">FoilWeigh!$A$1:$N$22</definedName>
    <definedName function="false" hidden="false" localSheetId="0" name="_xlnm.Print_Titles" vbProcedure="false">FoilWeigh!$1:$1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<sst xmlns="http://schemas.openxmlformats.org/spreadsheetml/2006/main" count="41" uniqueCount="36">
  <si>
    <t xml:space="preserve">SID</t>
  </si>
  <si>
    <t xml:space="preserve">Waterbody</t>
  </si>
  <si>
    <t xml:space="preserve">Date Sampled</t>
  </si>
  <si>
    <t xml:space="preserve">Dup</t>
  </si>
  <si>
    <t xml:space="preserve">Weigh Date</t>
  </si>
  <si>
    <t xml:space="preserve">Foil Weight (g)</t>
  </si>
  <si>
    <t xml:space="preserve">Foil Size (cm2) (Foil 1)</t>
  </si>
  <si>
    <t xml:space="preserve">Foil Size (cm2) (Foil 2)</t>
  </si>
  <si>
    <t xml:space="preserve">Foil Size (cm2) (Foil 3)</t>
  </si>
  <si>
    <t xml:space="preserve">Average Foil Size (cm2)</t>
  </si>
  <si>
    <t xml:space="preserve">Standard Weight (g)</t>
  </si>
  <si>
    <t xml:space="preserve">Weight (g)</t>
  </si>
  <si>
    <t xml:space="preserve">Training Day Foils</t>
  </si>
  <si>
    <t xml:space="preserve">Standardize Foil 1 (100 cm2)</t>
  </si>
  <si>
    <t xml:space="preserve">Naugatuck River</t>
  </si>
  <si>
    <t xml:space="preserve">Standardize Foil 2 (25 cm2)</t>
  </si>
  <si>
    <t xml:space="preserve">Shepaug River</t>
  </si>
  <si>
    <t xml:space="preserve">Standardize Foil 3 (9cm2)</t>
  </si>
  <si>
    <t xml:space="preserve">Bull Mountain Brook</t>
  </si>
  <si>
    <t xml:space="preserve">1.00 g</t>
  </si>
  <si>
    <t xml:space="preserve">Lyon Brook</t>
  </si>
  <si>
    <t xml:space="preserve">2.00 g</t>
  </si>
  <si>
    <t xml:space="preserve">Blackledge River</t>
  </si>
  <si>
    <t xml:space="preserve">5.00 g</t>
  </si>
  <si>
    <t xml:space="preserve">0.100 g</t>
  </si>
  <si>
    <t xml:space="preserve">Broad Brook</t>
  </si>
  <si>
    <t xml:space="preserve">Brown Brook</t>
  </si>
  <si>
    <t xml:space="preserve">Ivy Mountain Brook</t>
  </si>
  <si>
    <t xml:space="preserve">Ridgefield Brook</t>
  </si>
  <si>
    <t xml:space="preserve">Norwalk River</t>
  </si>
  <si>
    <t xml:space="preserve">Kettle Creek</t>
  </si>
  <si>
    <t xml:space="preserve">Grassy Hill Brook</t>
  </si>
  <si>
    <t xml:space="preserve">Williams Brook</t>
  </si>
  <si>
    <t xml:space="preserve">Willow Brook</t>
  </si>
  <si>
    <t xml:space="preserve">NNT to Hemp Swamp Brook</t>
  </si>
  <si>
    <t xml:space="preserve">Pequabuck River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</si>
</sst>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m/d/yy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Sheet1" xfId="20"/>
    <cellStyle name="Normal_Sheet1_1" xfId="21"/>
    <cellStyle name="Normal_Sheet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47.15234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.15"/>
    <col collapsed="false" customWidth="true" hidden="false" outlineLevel="0" max="3" min="3" style="0" width="13.57"/>
    <col collapsed="false" customWidth="true" hidden="false" outlineLevel="0" max="4" min="4" style="0" width="4.43"/>
    <col collapsed="false" customWidth="true" hidden="false" outlineLevel="0" max="5" min="5" style="0" width="12.14"/>
    <col collapsed="false" customWidth="true" hidden="false" outlineLevel="0" max="6" min="6" style="0" width="15.43"/>
    <col collapsed="false" customWidth="true" hidden="false" outlineLevel="0" max="9" min="7" style="0" width="20.57"/>
    <col collapsed="false" customWidth="true" hidden="false" outlineLevel="0" max="10" min="10" style="0" width="21.85"/>
    <col collapsed="false" customWidth="true" hidden="false" outlineLevel="0" max="11" min="11" style="0" width="7.28"/>
    <col collapsed="false" customWidth="true" hidden="false" outlineLevel="0" max="12" min="12" style="0" width="12.14"/>
    <col collapsed="false" customWidth="true" hidden="false" outlineLevel="0" max="13" min="13" style="0" width="25.28"/>
    <col collapsed="false" customWidth="true" hidden="false" outlineLevel="0" max="14" min="14" style="0" width="11"/>
  </cols>
  <sheetData>
    <row r="1" s="4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L1" s="2" t="s">
        <v>4</v>
      </c>
      <c r="M1" s="2" t="s">
        <v>10</v>
      </c>
      <c r="N1" s="5" t="s">
        <v>11</v>
      </c>
    </row>
    <row r="2" s="4" customFormat="true" ht="15" hidden="false" customHeight="false" outlineLevel="0" collapsed="false">
      <c r="A2" s="6" t="n">
        <v>15499</v>
      </c>
      <c r="B2" s="7" t="s">
        <v>12</v>
      </c>
      <c r="C2" s="8" t="n">
        <v>45826</v>
      </c>
      <c r="D2" s="6"/>
      <c r="E2" s="9" t="n">
        <v>45903</v>
      </c>
      <c r="F2" s="10" t="n">
        <v>1.7405</v>
      </c>
      <c r="G2" s="10" t="n">
        <f aca="false">(100/0.4428)*F2</f>
        <v>393.06684733514</v>
      </c>
      <c r="H2" s="10" t="n">
        <f aca="false">(25/0.1198)*F2</f>
        <v>363.209515859766</v>
      </c>
      <c r="I2" s="10" t="n">
        <f aca="false">(9/0.0412)*F2</f>
        <v>380.206310679612</v>
      </c>
      <c r="J2" s="11" t="n">
        <f aca="false">AVERAGE(G2:I2)</f>
        <v>378.827557958173</v>
      </c>
      <c r="K2" s="12"/>
      <c r="L2" s="9" t="n">
        <v>45903</v>
      </c>
      <c r="M2" s="13" t="s">
        <v>13</v>
      </c>
      <c r="N2" s="13" t="n">
        <v>0.4428</v>
      </c>
    </row>
    <row r="3" customFormat="false" ht="15" hidden="false" customHeight="false" outlineLevel="0" collapsed="false">
      <c r="A3" s="14" t="n">
        <v>16050</v>
      </c>
      <c r="B3" s="15" t="s">
        <v>14</v>
      </c>
      <c r="C3" s="9" t="n">
        <v>45854</v>
      </c>
      <c r="D3" s="13"/>
      <c r="E3" s="9" t="n">
        <v>45903</v>
      </c>
      <c r="F3" s="16" t="n">
        <v>1.7673</v>
      </c>
      <c r="G3" s="10" t="n">
        <f aca="false">(100/0.4428)*F3</f>
        <v>399.119241192412</v>
      </c>
      <c r="H3" s="10" t="n">
        <f aca="false">(25/0.1198)*F3</f>
        <v>368.802170283806</v>
      </c>
      <c r="I3" s="10" t="n">
        <f aca="false">(9/0.0412)*F3</f>
        <v>386.06067961165</v>
      </c>
      <c r="J3" s="11" t="n">
        <f aca="false">AVERAGE(G3:I3)</f>
        <v>384.66069702929</v>
      </c>
      <c r="K3" s="17"/>
      <c r="L3" s="9" t="n">
        <v>45903</v>
      </c>
      <c r="M3" s="13" t="s">
        <v>15</v>
      </c>
      <c r="N3" s="13" t="n">
        <v>0.1198</v>
      </c>
    </row>
    <row r="4" customFormat="false" ht="15" hidden="false" customHeight="false" outlineLevel="0" collapsed="false">
      <c r="A4" s="14" t="n">
        <v>20925</v>
      </c>
      <c r="B4" s="15" t="s">
        <v>16</v>
      </c>
      <c r="C4" s="9" t="n">
        <v>45847</v>
      </c>
      <c r="D4" s="13"/>
      <c r="E4" s="9" t="n">
        <v>45903</v>
      </c>
      <c r="F4" s="16" t="n">
        <v>1.3012</v>
      </c>
      <c r="G4" s="10" t="n">
        <f aca="false">(100/0.4428)*F4</f>
        <v>293.857271906052</v>
      </c>
      <c r="H4" s="10" t="n">
        <f aca="false">(25/0.1198)*F4</f>
        <v>271.535893155259</v>
      </c>
      <c r="I4" s="10" t="n">
        <f aca="false">(9/0.0412)*F4</f>
        <v>284.242718446602</v>
      </c>
      <c r="J4" s="11" t="n">
        <f aca="false">AVERAGE(G4:I4)</f>
        <v>283.211961169304</v>
      </c>
      <c r="K4" s="17"/>
      <c r="L4" s="9" t="n">
        <v>45903</v>
      </c>
      <c r="M4" s="13" t="s">
        <v>17</v>
      </c>
      <c r="N4" s="13" t="n">
        <v>0.0412</v>
      </c>
    </row>
    <row r="5" customFormat="false" ht="15" hidden="false" customHeight="false" outlineLevel="0" collapsed="false">
      <c r="A5" s="14" t="n">
        <v>20919</v>
      </c>
      <c r="B5" s="15" t="s">
        <v>18</v>
      </c>
      <c r="C5" s="9" t="n">
        <v>45847</v>
      </c>
      <c r="D5" s="13"/>
      <c r="E5" s="9" t="n">
        <v>45903</v>
      </c>
      <c r="F5" s="16" t="n">
        <v>1.5373</v>
      </c>
      <c r="G5" s="10" t="n">
        <f aca="false">(100/0.4428)*F5</f>
        <v>347.177055103884</v>
      </c>
      <c r="H5" s="10" t="n">
        <f aca="false">(25/0.1198)*F5</f>
        <v>320.80550918197</v>
      </c>
      <c r="I5" s="10" t="n">
        <f aca="false">(9/0.0412)*F5</f>
        <v>335.817961165049</v>
      </c>
      <c r="J5" s="11" t="n">
        <f aca="false">AVERAGE(G5:I5)</f>
        <v>334.600175150301</v>
      </c>
      <c r="K5" s="17"/>
      <c r="L5" s="9" t="n">
        <v>45903</v>
      </c>
      <c r="M5" s="13" t="s">
        <v>19</v>
      </c>
      <c r="N5" s="13" t="n">
        <v>1.0001</v>
      </c>
    </row>
    <row r="6" customFormat="false" ht="15" hidden="false" customHeight="false" outlineLevel="0" collapsed="false">
      <c r="A6" s="14" t="n">
        <v>20923</v>
      </c>
      <c r="B6" s="15" t="s">
        <v>20</v>
      </c>
      <c r="C6" s="9" t="n">
        <v>45846</v>
      </c>
      <c r="D6" s="13"/>
      <c r="E6" s="9" t="n">
        <v>45903</v>
      </c>
      <c r="F6" s="16" t="n">
        <v>2.0043</v>
      </c>
      <c r="G6" s="10" t="n">
        <f aca="false">(100/0.4428)*F6</f>
        <v>452.642276422764</v>
      </c>
      <c r="H6" s="10" t="n">
        <f aca="false">(25/0.1198)*F6</f>
        <v>418.25959933222</v>
      </c>
      <c r="I6" s="10" t="n">
        <f aca="false">(9/0.0412)*F6</f>
        <v>437.832524271845</v>
      </c>
      <c r="J6" s="11" t="n">
        <f aca="false">AVERAGE(G6:I6)</f>
        <v>436.244800008943</v>
      </c>
      <c r="K6" s="17"/>
      <c r="L6" s="9" t="n">
        <v>45903</v>
      </c>
      <c r="M6" s="13" t="s">
        <v>21</v>
      </c>
      <c r="N6" s="13" t="n">
        <v>2.0001</v>
      </c>
    </row>
    <row r="7" customFormat="false" ht="15" hidden="false" customHeight="false" outlineLevel="0" collapsed="false">
      <c r="A7" s="14" t="n">
        <v>16342</v>
      </c>
      <c r="B7" s="15" t="s">
        <v>22</v>
      </c>
      <c r="C7" s="9" t="n">
        <v>45846</v>
      </c>
      <c r="D7" s="13"/>
      <c r="E7" s="9" t="n">
        <v>45903</v>
      </c>
      <c r="F7" s="16" t="n">
        <v>1.7139</v>
      </c>
      <c r="G7" s="10" t="n">
        <f aca="false">(100/0.4428)*F7</f>
        <v>387.059620596206</v>
      </c>
      <c r="H7" s="10" t="n">
        <f aca="false">(25/0.1198)*F7</f>
        <v>357.658597662771</v>
      </c>
      <c r="I7" s="10" t="n">
        <f aca="false">(9/0.0412)*F7</f>
        <v>374.395631067961</v>
      </c>
      <c r="J7" s="11" t="n">
        <f aca="false">AVERAGE(G7:I7)</f>
        <v>373.037949775646</v>
      </c>
      <c r="K7" s="17"/>
      <c r="L7" s="9" t="n">
        <v>45903</v>
      </c>
      <c r="M7" s="13" t="s">
        <v>23</v>
      </c>
      <c r="N7" s="13" t="n">
        <v>5.0001</v>
      </c>
    </row>
    <row r="8" customFormat="false" ht="15" hidden="false" customHeight="false" outlineLevel="0" collapsed="false">
      <c r="A8" s="14" t="n">
        <v>16342</v>
      </c>
      <c r="B8" s="15" t="s">
        <v>22</v>
      </c>
      <c r="C8" s="9" t="n">
        <v>45846</v>
      </c>
      <c r="D8" s="13" t="n">
        <v>1</v>
      </c>
      <c r="E8" s="9" t="n">
        <v>45903</v>
      </c>
      <c r="F8" s="16" t="n">
        <v>1.4346</v>
      </c>
      <c r="G8" s="10" t="n">
        <f aca="false">(100/0.4428)*F8</f>
        <v>323.983739837398</v>
      </c>
      <c r="H8" s="10" t="n">
        <f aca="false">(25/0.1198)*F8</f>
        <v>299.373956594324</v>
      </c>
      <c r="I8" s="10" t="n">
        <f aca="false">(9/0.0412)*F8</f>
        <v>313.383495145631</v>
      </c>
      <c r="J8" s="11" t="n">
        <f aca="false">AVERAGE(G8:I8)</f>
        <v>312.247063859118</v>
      </c>
      <c r="K8" s="17"/>
      <c r="L8" s="9" t="n">
        <v>45903</v>
      </c>
      <c r="M8" s="13" t="s">
        <v>24</v>
      </c>
      <c r="N8" s="16" t="n">
        <v>0.1</v>
      </c>
    </row>
    <row r="9" customFormat="false" ht="15" hidden="false" customHeight="false" outlineLevel="0" collapsed="false">
      <c r="A9" s="14" t="n">
        <v>20917</v>
      </c>
      <c r="B9" s="15" t="s">
        <v>25</v>
      </c>
      <c r="C9" s="9" t="n">
        <v>45846</v>
      </c>
      <c r="D9" s="13" t="n">
        <v>1</v>
      </c>
      <c r="E9" s="9" t="n">
        <v>45903</v>
      </c>
      <c r="F9" s="16" t="n">
        <v>1.3064</v>
      </c>
      <c r="G9" s="10" t="n">
        <f aca="false">(100/0.4428)*F9</f>
        <v>295.031616982836</v>
      </c>
      <c r="H9" s="10" t="n">
        <f aca="false">(25/0.1198)*F9</f>
        <v>272.621035058431</v>
      </c>
      <c r="I9" s="10" t="n">
        <f aca="false">(9/0.0412)*F9</f>
        <v>285.378640776699</v>
      </c>
      <c r="J9" s="11" t="n">
        <f aca="false">AVERAGE(G9:I9)</f>
        <v>284.343764272655</v>
      </c>
      <c r="K9" s="17"/>
    </row>
    <row r="10" customFormat="false" ht="15" hidden="false" customHeight="false" outlineLevel="0" collapsed="false">
      <c r="A10" s="14" t="n">
        <v>20917</v>
      </c>
      <c r="B10" s="15" t="s">
        <v>25</v>
      </c>
      <c r="C10" s="9" t="n">
        <v>45846</v>
      </c>
      <c r="D10" s="13"/>
      <c r="E10" s="9" t="n">
        <v>45903</v>
      </c>
      <c r="F10" s="16" t="n">
        <v>1.3232</v>
      </c>
      <c r="G10" s="10" t="n">
        <f aca="false">(100/0.4428)*F10</f>
        <v>298.825654923216</v>
      </c>
      <c r="H10" s="10" t="n">
        <f aca="false">(25/0.1198)*F10</f>
        <v>276.126878130217</v>
      </c>
      <c r="I10" s="10" t="n">
        <f aca="false">(9/0.0412)*F10</f>
        <v>289.04854368932</v>
      </c>
      <c r="J10" s="11" t="n">
        <f aca="false">AVERAGE(G10:I10)</f>
        <v>288.000358914251</v>
      </c>
      <c r="K10" s="17"/>
    </row>
    <row r="11" customFormat="false" ht="15" hidden="false" customHeight="false" outlineLevel="0" collapsed="false">
      <c r="A11" s="14" t="n">
        <v>20918</v>
      </c>
      <c r="B11" s="15" t="s">
        <v>26</v>
      </c>
      <c r="C11" s="9" t="n">
        <v>45839</v>
      </c>
      <c r="D11" s="13"/>
      <c r="E11" s="9" t="n">
        <v>45903</v>
      </c>
      <c r="F11" s="16" t="n">
        <v>1.516</v>
      </c>
      <c r="G11" s="10" t="n">
        <f aca="false">(100/0.4428)*F11</f>
        <v>342.366757000903</v>
      </c>
      <c r="H11" s="10" t="n">
        <f aca="false">(25/0.1198)*F11</f>
        <v>316.360601001669</v>
      </c>
      <c r="I11" s="10" t="n">
        <f aca="false">(9/0.0412)*F11</f>
        <v>331.165048543689</v>
      </c>
      <c r="J11" s="11" t="n">
        <f aca="false">AVERAGE(G11:I11)</f>
        <v>329.964135515421</v>
      </c>
      <c r="K11" s="17"/>
    </row>
    <row r="12" customFormat="false" ht="15" hidden="false" customHeight="false" outlineLevel="0" collapsed="false">
      <c r="A12" s="14" t="n">
        <v>20921</v>
      </c>
      <c r="B12" s="15" t="s">
        <v>27</v>
      </c>
      <c r="C12" s="9" t="n">
        <v>45839</v>
      </c>
      <c r="D12" s="13"/>
      <c r="E12" s="9" t="n">
        <v>45903</v>
      </c>
      <c r="F12" s="16" t="n">
        <v>1.0241</v>
      </c>
      <c r="G12" s="10" t="n">
        <f aca="false">(100/0.4428)*F12</f>
        <v>231.278229448961</v>
      </c>
      <c r="H12" s="10" t="n">
        <f aca="false">(25/0.1198)*F12</f>
        <v>213.710350584307</v>
      </c>
      <c r="I12" s="10" t="n">
        <f aca="false">(9/0.0412)*F12</f>
        <v>223.711165048544</v>
      </c>
      <c r="J12" s="11" t="n">
        <f aca="false">AVERAGE(G12:I12)</f>
        <v>222.899915027271</v>
      </c>
      <c r="K12" s="17"/>
    </row>
    <row r="13" customFormat="false" ht="15" hidden="false" customHeight="false" outlineLevel="0" collapsed="false">
      <c r="A13" s="14" t="n">
        <v>14362</v>
      </c>
      <c r="B13" s="15" t="s">
        <v>28</v>
      </c>
      <c r="C13" s="9" t="n">
        <v>45838</v>
      </c>
      <c r="D13" s="13"/>
      <c r="E13" s="9" t="n">
        <v>45903</v>
      </c>
      <c r="F13" s="16" t="n">
        <v>1.126</v>
      </c>
      <c r="G13" s="10" t="n">
        <f aca="false">(100/0.4428)*F13</f>
        <v>254.290876242096</v>
      </c>
      <c r="H13" s="10" t="n">
        <f aca="false">(25/0.1198)*F13</f>
        <v>234.974958263773</v>
      </c>
      <c r="I13" s="10" t="n">
        <f aca="false">(9/0.0412)*F13</f>
        <v>245.970873786408</v>
      </c>
      <c r="J13" s="11" t="n">
        <f aca="false">AVERAGE(G13:I13)</f>
        <v>245.078902764092</v>
      </c>
      <c r="K13" s="17"/>
    </row>
    <row r="14" customFormat="false" ht="15" hidden="false" customHeight="false" outlineLevel="0" collapsed="false">
      <c r="A14" s="14" t="n">
        <v>14360</v>
      </c>
      <c r="B14" s="15" t="s">
        <v>29</v>
      </c>
      <c r="C14" s="9" t="n">
        <v>45838</v>
      </c>
      <c r="D14" s="13"/>
      <c r="E14" s="9" t="n">
        <v>45903</v>
      </c>
      <c r="F14" s="16" t="n">
        <v>0.9808</v>
      </c>
      <c r="G14" s="10" t="n">
        <f aca="false">(100/0.4428)*F14</f>
        <v>221.499548328817</v>
      </c>
      <c r="H14" s="10" t="n">
        <f aca="false">(25/0.1198)*F14</f>
        <v>204.674457429048</v>
      </c>
      <c r="I14" s="10" t="n">
        <f aca="false">(9/0.0412)*F14</f>
        <v>214.252427184466</v>
      </c>
      <c r="J14" s="11" t="n">
        <f aca="false">AVERAGE(G14:I14)</f>
        <v>213.475477647444</v>
      </c>
      <c r="K14" s="17"/>
    </row>
    <row r="15" customFormat="false" ht="15" hidden="false" customHeight="false" outlineLevel="0" collapsed="false">
      <c r="A15" s="14" t="n">
        <v>20922</v>
      </c>
      <c r="B15" s="15" t="s">
        <v>30</v>
      </c>
      <c r="C15" s="9" t="n">
        <v>45838</v>
      </c>
      <c r="D15" s="13"/>
      <c r="E15" s="9" t="n">
        <v>45903</v>
      </c>
      <c r="F15" s="16" t="n">
        <v>1.4837</v>
      </c>
      <c r="G15" s="10" t="n">
        <f aca="false">(100/0.4428)*F15</f>
        <v>335.072267389341</v>
      </c>
      <c r="H15" s="10" t="n">
        <f aca="false">(25/0.1198)*F15</f>
        <v>309.62020033389</v>
      </c>
      <c r="I15" s="10" t="n">
        <f aca="false">(9/0.0412)*F15</f>
        <v>324.109223300971</v>
      </c>
      <c r="J15" s="11" t="n">
        <f aca="false">AVERAGE(G15:I15)</f>
        <v>322.933897008067</v>
      </c>
      <c r="K15" s="17"/>
    </row>
    <row r="16" customFormat="false" ht="15" hidden="false" customHeight="false" outlineLevel="0" collapsed="false">
      <c r="A16" s="14" t="n">
        <v>14361</v>
      </c>
      <c r="B16" s="15" t="s">
        <v>29</v>
      </c>
      <c r="C16" s="9" t="n">
        <v>45838</v>
      </c>
      <c r="D16" s="13"/>
      <c r="E16" s="9" t="n">
        <v>45903</v>
      </c>
      <c r="F16" s="16" t="n">
        <v>1.2431</v>
      </c>
      <c r="G16" s="10" t="n">
        <f aca="false">(100/0.4428)*F16</f>
        <v>280.736224028907</v>
      </c>
      <c r="H16" s="10" t="n">
        <f aca="false">(25/0.1198)*F16</f>
        <v>259.411519198664</v>
      </c>
      <c r="I16" s="10" t="n">
        <f aca="false">(9/0.0412)*F16</f>
        <v>271.550970873786</v>
      </c>
      <c r="J16" s="11" t="n">
        <f aca="false">AVERAGE(G16:I16)</f>
        <v>270.566238033786</v>
      </c>
      <c r="K16" s="17"/>
      <c r="L16" s="17"/>
      <c r="M16" s="17"/>
      <c r="N16" s="17"/>
    </row>
    <row r="17" customFormat="false" ht="15" hidden="false" customHeight="false" outlineLevel="0" collapsed="false">
      <c r="A17" s="14" t="n">
        <v>20920</v>
      </c>
      <c r="B17" s="15" t="s">
        <v>31</v>
      </c>
      <c r="C17" s="9" t="n">
        <v>45834</v>
      </c>
      <c r="D17" s="13"/>
      <c r="E17" s="9" t="n">
        <v>45903</v>
      </c>
      <c r="F17" s="16" t="n">
        <v>1.6273</v>
      </c>
      <c r="G17" s="10" t="n">
        <f aca="false">(100/0.4428)*F17</f>
        <v>367.502258355917</v>
      </c>
      <c r="H17" s="10" t="n">
        <f aca="false">(25/0.1198)*F17</f>
        <v>339.586811352254</v>
      </c>
      <c r="I17" s="10" t="n">
        <f aca="false">(9/0.0412)*F17</f>
        <v>355.478155339806</v>
      </c>
      <c r="J17" s="11" t="n">
        <f aca="false">AVERAGE(G17:I17)</f>
        <v>354.189075015992</v>
      </c>
      <c r="K17" s="17"/>
      <c r="L17" s="17"/>
      <c r="M17" s="17"/>
      <c r="N17" s="17"/>
    </row>
    <row r="18" customFormat="false" ht="15" hidden="false" customHeight="false" outlineLevel="0" collapsed="false">
      <c r="A18" s="14" t="n">
        <v>20926</v>
      </c>
      <c r="B18" s="15" t="s">
        <v>32</v>
      </c>
      <c r="C18" s="9" t="n">
        <v>45834</v>
      </c>
      <c r="D18" s="13"/>
      <c r="E18" s="9" t="n">
        <v>45903</v>
      </c>
      <c r="F18" s="16" t="n">
        <v>1.721</v>
      </c>
      <c r="G18" s="10" t="n">
        <f aca="false">(100/0.4428)*F18</f>
        <v>388.6630532972</v>
      </c>
      <c r="H18" s="10" t="n">
        <f aca="false">(25/0.1198)*F18</f>
        <v>359.140233722871</v>
      </c>
      <c r="I18" s="10" t="n">
        <f aca="false">(9/0.0412)*F18</f>
        <v>375.946601941748</v>
      </c>
      <c r="J18" s="11" t="n">
        <f aca="false">AVERAGE(G18:I18)</f>
        <v>374.583296320606</v>
      </c>
      <c r="K18" s="17"/>
      <c r="L18" s="17"/>
      <c r="M18" s="17"/>
      <c r="N18" s="17"/>
    </row>
    <row r="19" customFormat="false" ht="15" hidden="false" customHeight="false" outlineLevel="0" collapsed="false">
      <c r="A19" s="14" t="n">
        <v>15330</v>
      </c>
      <c r="B19" s="15" t="s">
        <v>33</v>
      </c>
      <c r="C19" s="9" t="n">
        <v>45833</v>
      </c>
      <c r="D19" s="13"/>
      <c r="E19" s="9" t="n">
        <v>45903</v>
      </c>
      <c r="F19" s="16" t="n">
        <v>1.7412</v>
      </c>
      <c r="G19" s="10" t="n">
        <f aca="false">(100/0.4428)*F19</f>
        <v>393.224932249322</v>
      </c>
      <c r="H19" s="10" t="n">
        <f aca="false">(25/0.1198)*F19</f>
        <v>363.355592654424</v>
      </c>
      <c r="I19" s="10" t="n">
        <f aca="false">(9/0.0412)*F19</f>
        <v>380.359223300971</v>
      </c>
      <c r="J19" s="11" t="n">
        <f aca="false">AVERAGE(G19:I19)</f>
        <v>378.979916068239</v>
      </c>
      <c r="K19" s="17"/>
      <c r="L19" s="17"/>
      <c r="M19" s="17"/>
      <c r="N19" s="17"/>
    </row>
    <row r="20" customFormat="false" ht="15" hidden="false" customHeight="false" outlineLevel="0" collapsed="false">
      <c r="A20" s="14" t="n">
        <v>14316</v>
      </c>
      <c r="B20" s="15" t="s">
        <v>14</v>
      </c>
      <c r="C20" s="9" t="n">
        <v>45833</v>
      </c>
      <c r="D20" s="13"/>
      <c r="E20" s="9" t="n">
        <v>45903</v>
      </c>
      <c r="F20" s="16" t="n">
        <v>1.886</v>
      </c>
      <c r="G20" s="10" t="n">
        <f aca="false">(100/0.4428)*F20</f>
        <v>425.925925925926</v>
      </c>
      <c r="H20" s="10" t="n">
        <f aca="false">(25/0.1198)*F20</f>
        <v>393.572621035058</v>
      </c>
      <c r="I20" s="10" t="n">
        <f aca="false">(9/0.0412)*F20</f>
        <v>411.990291262136</v>
      </c>
      <c r="J20" s="11" t="n">
        <f aca="false">AVERAGE(G20:I20)</f>
        <v>410.496279407707</v>
      </c>
      <c r="K20" s="17"/>
      <c r="L20" s="17"/>
      <c r="M20" s="17"/>
      <c r="N20" s="17"/>
    </row>
    <row r="21" customFormat="false" ht="15" hidden="false" customHeight="false" outlineLevel="0" collapsed="false">
      <c r="A21" s="14" t="n">
        <v>20924</v>
      </c>
      <c r="B21" s="15" t="s">
        <v>34</v>
      </c>
      <c r="C21" s="9" t="n">
        <v>45833</v>
      </c>
      <c r="D21" s="13"/>
      <c r="E21" s="9" t="n">
        <v>45903</v>
      </c>
      <c r="F21" s="16" t="n">
        <v>2.1223</v>
      </c>
      <c r="G21" s="10" t="n">
        <f aca="false">(100/0.4428)*F21</f>
        <v>479.290876242096</v>
      </c>
      <c r="H21" s="10" t="n">
        <f aca="false">(25/0.1198)*F21</f>
        <v>442.883973288815</v>
      </c>
      <c r="I21" s="10" t="n">
        <f aca="false">(9/0.0412)*F21</f>
        <v>463.609223300971</v>
      </c>
      <c r="J21" s="11" t="n">
        <f aca="false">AVERAGE(G21:I21)</f>
        <v>461.928024277294</v>
      </c>
      <c r="K21" s="17"/>
      <c r="L21" s="17"/>
      <c r="M21" s="17"/>
      <c r="N21" s="17"/>
    </row>
    <row r="22" customFormat="false" ht="15" hidden="false" customHeight="false" outlineLevel="0" collapsed="false">
      <c r="A22" s="14" t="n">
        <v>14392</v>
      </c>
      <c r="B22" s="15" t="s">
        <v>35</v>
      </c>
      <c r="C22" s="9" t="n">
        <v>45833</v>
      </c>
      <c r="D22" s="13"/>
      <c r="E22" s="9" t="n">
        <v>45903</v>
      </c>
      <c r="F22" s="16" t="n">
        <v>1.7127</v>
      </c>
      <c r="G22" s="10" t="n">
        <f aca="false">(100/0.4428)*F22</f>
        <v>386.788617886179</v>
      </c>
      <c r="H22" s="10" t="n">
        <f aca="false">(25/0.1198)*F22</f>
        <v>357.408180300501</v>
      </c>
      <c r="I22" s="10" t="n">
        <f aca="false">(9/0.0412)*F22</f>
        <v>374.133495145631</v>
      </c>
      <c r="J22" s="11" t="n">
        <f aca="false">AVERAGE(G22:I22)</f>
        <v>372.776764444104</v>
      </c>
      <c r="K22" s="1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91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Connecticut DEEP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2015-04-13T14:05:34Z</dcterms:created>
  <dc:creator>Mary Becker</dc:creator>
  <dc:description/>
  <dc:language>en-US</dc:language>
  <cp:lastModifiedBy/>
  <cp:lastPrinted>2018-05-11T13:29:04Z</cp:lastPrinted>
  <dcterms:modified xsi:type="dcterms:W3CDTF">2025-10-15T11:02:15Z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Connecticut DEEP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